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Orçado x Realizado" sheetId="2" state="visible" r:id="rId4"/>
    <sheet name="Lançamentos" sheetId="3" state="visible" r:id="rId5"/>
    <sheet name="Anex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<sst xmlns="http://schemas.openxmlformats.org/spreadsheetml/2006/main" count="329" uniqueCount="258">
  <si>
    <t xml:space="preserve">Controle Financeiro · Resumo</t>
  </si>
  <si>
    <t xml:space="preserve">Clínica Sensi · Orçado x Realizado por grupo do orçamento</t>
  </si>
  <si>
    <t xml:space="preserve">Orçamento total (obra + ambientação)</t>
  </si>
  <si>
    <t xml:space="preserve">Realizado até o momento</t>
  </si>
  <si>
    <t xml:space="preserve">Saldo do orçamento</t>
  </si>
  <si>
    <t xml:space="preserve">% executado</t>
  </si>
  <si>
    <t xml:space="preserve">Grupo do orçamento</t>
  </si>
  <si>
    <t xml:space="preserve">Orçado (R$)</t>
  </si>
  <si>
    <t xml:space="preserve">Realizado (R$)</t>
  </si>
  <si>
    <t xml:space="preserve">Saldo (R$)</t>
  </si>
  <si>
    <t xml:space="preserve">% do orçamento total</t>
  </si>
  <si>
    <t xml:space="preserve">001.01 · Despesas indiretas</t>
  </si>
  <si>
    <t xml:space="preserve">001.02 · Serviços preliminares</t>
  </si>
  <si>
    <t xml:space="preserve">001.03 · Paredes e paineis</t>
  </si>
  <si>
    <t xml:space="preserve">001.04 · Forro de gesso</t>
  </si>
  <si>
    <t xml:space="preserve">001.05 · Esquadrias</t>
  </si>
  <si>
    <t xml:space="preserve">001.06 · Revestimentos</t>
  </si>
  <si>
    <t xml:space="preserve">001.07 · Pintura</t>
  </si>
  <si>
    <t xml:space="preserve">001.08 · Pedras, louças e metais</t>
  </si>
  <si>
    <t xml:space="preserve">001.09 · Instalações</t>
  </si>
  <si>
    <t xml:space="preserve">001.10 · Limpeza</t>
  </si>
  <si>
    <t xml:space="preserve">002.01 · Ambientação</t>
  </si>
  <si>
    <t xml:space="preserve">TOTAL</t>
  </si>
  <si>
    <t xml:space="preserve">Por centro de custo (nome livre informado nos lançamentos)</t>
  </si>
  <si>
    <t xml:space="preserve">Centro de custo</t>
  </si>
  <si>
    <t xml:space="preserve">Qtd. lançamentos</t>
  </si>
  <si>
    <t xml:space="preserve">Valor (R$)</t>
  </si>
  <si>
    <t xml:space="preserve">Instalações Frigorígenas</t>
  </si>
  <si>
    <t xml:space="preserve">Revestimento Cerâmico</t>
  </si>
  <si>
    <t xml:space="preserve">Conferência: total realizado = soma dos lançamentos</t>
  </si>
  <si>
    <t xml:space="preserve">Orçado x Realizado · EAP Clínica Sensi</t>
  </si>
  <si>
    <t xml:space="preserve">Fonte do orçado: 'Clínica Sense - Orçamento Executivo.xlsm', aba EAP (proposta set/2026, BDI 0% e impostos 0%). Realizado: soma dos Lançamentos vinculados ao código (inclui subníveis).</t>
  </si>
  <si>
    <t xml:space="preserve">Níveis 1 a 3 somam automaticamente os itens de nível 4. Use os botões de agrupamento (+/−) à esquerda para recolher os itens.</t>
  </si>
  <si>
    <t xml:space="preserve">Código</t>
  </si>
  <si>
    <t xml:space="preserve">Nível</t>
  </si>
  <si>
    <t xml:space="preserve">Descrição</t>
  </si>
  <si>
    <t xml:space="preserve">Und</t>
  </si>
  <si>
    <t xml:space="preserve">Quant.</t>
  </si>
  <si>
    <t xml:space="preserve">Preço unit. (R$)</t>
  </si>
  <si>
    <t xml:space="preserve">001</t>
  </si>
  <si>
    <t xml:space="preserve">OBRA</t>
  </si>
  <si>
    <t xml:space="preserve">001.01</t>
  </si>
  <si>
    <t xml:space="preserve">DESPESAS INDIRETAS</t>
  </si>
  <si>
    <t xml:space="preserve">001.01.01</t>
  </si>
  <si>
    <t xml:space="preserve">DESPESAS MENSAIS</t>
  </si>
  <si>
    <t xml:space="preserve">001.01.01.01</t>
  </si>
  <si>
    <t xml:space="preserve">ART</t>
  </si>
  <si>
    <t xml:space="preserve">VB</t>
  </si>
  <si>
    <t xml:space="preserve">001.01.01.02</t>
  </si>
  <si>
    <t xml:space="preserve">CUSTOS COM CANTEIRO DE OBRAS</t>
  </si>
  <si>
    <t xml:space="preserve">OE</t>
  </si>
  <si>
    <t xml:space="preserve">001.01.01.03</t>
  </si>
  <si>
    <t xml:space="preserve">MOBILIZAÇÃO, DESMOBILIZAÇÃO E FRETES DA OBRA</t>
  </si>
  <si>
    <t xml:space="preserve">001.01.02</t>
  </si>
  <si>
    <t xml:space="preserve">EQUIPE ADMININSTRATIVA</t>
  </si>
  <si>
    <t xml:space="preserve">001.01.02.01</t>
  </si>
  <si>
    <t xml:space="preserve">EQUIPE ADMINISTRATIVA</t>
  </si>
  <si>
    <t xml:space="preserve">001.01.03</t>
  </si>
  <si>
    <t xml:space="preserve">LOCAÇÃO DE EQUIPAMENTOS</t>
  </si>
  <si>
    <t xml:space="preserve">001.01.03.01</t>
  </si>
  <si>
    <t xml:space="preserve">LOCAÇÃO DE EQUIPAMENTOS E MÁQUINA</t>
  </si>
  <si>
    <t xml:space="preserve">001.01.04</t>
  </si>
  <si>
    <t xml:space="preserve">ELABORAÇÃO DE PROJETOS</t>
  </si>
  <si>
    <t xml:space="preserve">001.01.04.01</t>
  </si>
  <si>
    <t xml:space="preserve">CUSTOS COM ELABORAÇÃO DE PROJETOS COMPLEMENTARES</t>
  </si>
  <si>
    <t xml:space="preserve">001.02</t>
  </si>
  <si>
    <t xml:space="preserve">SERVIÇOS PRELIMINARES</t>
  </si>
  <si>
    <t xml:space="preserve">001.02.01</t>
  </si>
  <si>
    <t xml:space="preserve">001.02.01.01</t>
  </si>
  <si>
    <t xml:space="preserve">DEMOLIÇÃO E TRANSPORTE DE PISO CERÂMICO SOBRE CONTRAPISO</t>
  </si>
  <si>
    <t xml:space="preserve">M2</t>
  </si>
  <si>
    <t xml:space="preserve">001.02.01.02</t>
  </si>
  <si>
    <t xml:space="preserve">EXECUÇÃO DE LIXAMENTO E LIMPEZA DE CONTRAPISO AUTONIVELANTE</t>
  </si>
  <si>
    <t xml:space="preserve">001.02.01.03</t>
  </si>
  <si>
    <t xml:space="preserve">DEMOLIÇÃO E TRANSPORTE DE FORRO DE GESSO ALT. ATÉ 3,00M</t>
  </si>
  <si>
    <t xml:space="preserve">001.02.01.04</t>
  </si>
  <si>
    <t xml:space="preserve">REMOÇÃO DE BANCADAS</t>
  </si>
  <si>
    <t xml:space="preserve">001.02.01.05</t>
  </si>
  <si>
    <t xml:space="preserve">REMOÇÃO DE RESÍDUOS</t>
  </si>
  <si>
    <t xml:space="preserve">M3</t>
  </si>
  <si>
    <t xml:space="preserve">001.02.01.06</t>
  </si>
  <si>
    <t xml:space="preserve">PROTEÇÃO DE PISO COM SALVA PISO</t>
  </si>
  <si>
    <t xml:space="preserve">001.03</t>
  </si>
  <si>
    <t xml:space="preserve">PAREDES E PAINEIS</t>
  </si>
  <si>
    <t xml:space="preserve">001.03.01</t>
  </si>
  <si>
    <t xml:space="preserve">DIVISÓRIA DE GESSO</t>
  </si>
  <si>
    <t xml:space="preserve">001.03.01.01</t>
  </si>
  <si>
    <t xml:space="preserve">FORNECIMENTO E EXECUÇÃO DE DRYWALL  E LÃ DE VIDRO - TERCEIRIZADO</t>
  </si>
  <si>
    <t xml:space="preserve">001.03.01.02</t>
  </si>
  <si>
    <t xml:space="preserve">FORNECIMENTO E EXECUÇÃO DE ELEMENTOS DECORATIVOS EM GESSO</t>
  </si>
  <si>
    <t xml:space="preserve">001.04</t>
  </si>
  <si>
    <t xml:space="preserve">FORRO DE GESSO</t>
  </si>
  <si>
    <t xml:space="preserve">001.04.01</t>
  </si>
  <si>
    <t xml:space="preserve">001.04.01.01</t>
  </si>
  <si>
    <t xml:space="preserve">FORNECIMENTO E EXECUÇÃO DE FORRO DE GESSO ACARTONADO FGE</t>
  </si>
  <si>
    <t xml:space="preserve">001.05</t>
  </si>
  <si>
    <t xml:space="preserve">ESQUADRIAS</t>
  </si>
  <si>
    <t xml:space="preserve">001.05.01</t>
  </si>
  <si>
    <t xml:space="preserve">ESQUADRIAS DE ALUMÍNIO E VIDRO</t>
  </si>
  <si>
    <t xml:space="preserve">001.05.01.01</t>
  </si>
  <si>
    <t xml:space="preserve">FORNECIMENTO E MONTAGEM DE ESQUADRIA FIXA</t>
  </si>
  <si>
    <t xml:space="preserve">001.05.02</t>
  </si>
  <si>
    <t xml:space="preserve">ESQUADRIAS DE MADEIRA</t>
  </si>
  <si>
    <t xml:space="preserve">001.05.02.01</t>
  </si>
  <si>
    <t xml:space="preserve">FORNECIMENTO E MONTAGEM DE PORTA DE MADEIRA 70X210 (PARANÁ) - INCLUSO FERRAGENS (ABRIR)</t>
  </si>
  <si>
    <t xml:space="preserve">UND</t>
  </si>
  <si>
    <t xml:space="preserve">001.05.02.02</t>
  </si>
  <si>
    <t xml:space="preserve">FORNECIMENTO E MONTAGEM DE PORTA DE MADEIRA 60X210 (PARANÁ) - INCLUSO FERRAGENS (CORRER)</t>
  </si>
  <si>
    <t xml:space="preserve">001.06</t>
  </si>
  <si>
    <t xml:space="preserve">REVESTIMENTOS</t>
  </si>
  <si>
    <t xml:space="preserve">001.06.01</t>
  </si>
  <si>
    <t xml:space="preserve">REVESTIMENTO DE PISO</t>
  </si>
  <si>
    <t xml:space="preserve">001.06.01.01</t>
  </si>
  <si>
    <t xml:space="preserve">ASSENTAMENTO DE PORCELANATO 120X120CM COM AC-III E NIVELADORES - PISO</t>
  </si>
  <si>
    <t xml:space="preserve">001.06.01.02</t>
  </si>
  <si>
    <t xml:space="preserve">FORNECIMENTO PORCELANATO PORTOBELLO 90X90CM AETERNA BIANCO</t>
  </si>
  <si>
    <t xml:space="preserve">001.06.01.03</t>
  </si>
  <si>
    <t xml:space="preserve">EXECUÇÃO DE REJUNTAMENTO EM PORCELANATO 120X120CM</t>
  </si>
  <si>
    <t xml:space="preserve">001.06.02</t>
  </si>
  <si>
    <t xml:space="preserve">REVESTIMENTO DE PAREDE</t>
  </si>
  <si>
    <t xml:space="preserve">001.06.02.01</t>
  </si>
  <si>
    <t xml:space="preserve">APLICAÇÃO DE PAPEL DE PAREDE, INCLUSO PREPARO DE SUPERFÍCIE E COLA - PAREDE</t>
  </si>
  <si>
    <t xml:space="preserve">001.06.02.02</t>
  </si>
  <si>
    <t xml:space="preserve">ASSENTAMENTO DE PORCELANATO 120X120CM COM AC-III E NIVELADORES - PAREDE</t>
  </si>
  <si>
    <t xml:space="preserve">001.06.02.03</t>
  </si>
  <si>
    <t xml:space="preserve">001.06.02.04</t>
  </si>
  <si>
    <t xml:space="preserve">001.06.02.05</t>
  </si>
  <si>
    <t xml:space="preserve">FORNECIMENTO E EXECUÇÃO DE RODAPÉ METÁLICO</t>
  </si>
  <si>
    <t xml:space="preserve">M</t>
  </si>
  <si>
    <t xml:space="preserve">001.06.02.06</t>
  </si>
  <si>
    <t xml:space="preserve">FORNECIMENTO E EXECUÇÃO DE RODAPÉ SANTA LUZIA COM COLA E REJUNTE</t>
  </si>
  <si>
    <t xml:space="preserve">001.07</t>
  </si>
  <si>
    <t xml:space="preserve">PINTURA</t>
  </si>
  <si>
    <t xml:space="preserve">001.07.01</t>
  </si>
  <si>
    <t xml:space="preserve">PINTURA DE PAREDE</t>
  </si>
  <si>
    <t xml:space="preserve">001.07.01.01</t>
  </si>
  <si>
    <t xml:space="preserve">FORNECIMENTO E EXECUÇÃO DE TEXTURA EFEITO CIMENTO QUEIMADO</t>
  </si>
  <si>
    <t xml:space="preserve">001.07.01.02</t>
  </si>
  <si>
    <t xml:space="preserve">FORNECIMENTO E EXECUÇÃO DE PINTURA LATEX PVA COM DUAS DEMÃOS EM PAREDES EMASSADAS - INTERNAS</t>
  </si>
  <si>
    <t xml:space="preserve">001.07.01.03</t>
  </si>
  <si>
    <t xml:space="preserve">FORNECIMENTO E EXECUÇÃO DE  EMASSAMENTO - INTERNAS</t>
  </si>
  <si>
    <t xml:space="preserve">001.07.02</t>
  </si>
  <si>
    <t xml:space="preserve">PINTURA DE TETO</t>
  </si>
  <si>
    <t xml:space="preserve">001.07.02.01</t>
  </si>
  <si>
    <t xml:space="preserve">001.07.02.02</t>
  </si>
  <si>
    <t xml:space="preserve">FORNECIMENTO E EXECUÇÃO DE PINTURA LATEX PVA COM DUAS DEMÃOS EM TETOS</t>
  </si>
  <si>
    <t xml:space="preserve">001.08</t>
  </si>
  <si>
    <t xml:space="preserve">PEDRAS, LOUÇAS E METAIS</t>
  </si>
  <si>
    <t xml:space="preserve">001.08.01</t>
  </si>
  <si>
    <t xml:space="preserve">PEDRAS</t>
  </si>
  <si>
    <t xml:space="preserve">001.08.01.01</t>
  </si>
  <si>
    <t xml:space="preserve">FORNECIMENTO E ASSENTAMENTO DE BANCADA E TAMPO EM BRANCO ITAÚNAS</t>
  </si>
  <si>
    <t xml:space="preserve">001.08.01.02</t>
  </si>
  <si>
    <t xml:space="preserve">FORNECIMENTO E ASSENTAMENTO DE TAMPO EM TRAVERTINO ROMANO BRUTO</t>
  </si>
  <si>
    <t xml:space="preserve">001.08.02</t>
  </si>
  <si>
    <t xml:space="preserve">LOUÇAS</t>
  </si>
  <si>
    <t xml:space="preserve">001.08.02.01</t>
  </si>
  <si>
    <t xml:space="preserve">FORNECIMENTO DE CUBA DE SOBREPOR RETANGULAR DECA L840</t>
  </si>
  <si>
    <t xml:space="preserve">001.08.02.02</t>
  </si>
  <si>
    <t xml:space="preserve">INSTALAÇÃO DE ACESSÓRIOS PARA CUBA DE APOIO</t>
  </si>
  <si>
    <t xml:space="preserve">001.08.03</t>
  </si>
  <si>
    <t xml:space="preserve">METAIS</t>
  </si>
  <si>
    <t xml:space="preserve">001.08.03.01</t>
  </si>
  <si>
    <t xml:space="preserve">FORNECIMENTO DE TORNEIRA DECA 1198.C33 POLO</t>
  </si>
  <si>
    <t xml:space="preserve">001.08.03.02</t>
  </si>
  <si>
    <t xml:space="preserve">FORNECIMENTO DE CUBA DE AÇO INOX DUPLA 70X34CM REF. 94061/407 - TRAMONTINA</t>
  </si>
  <si>
    <t xml:space="preserve">001.08.03.03</t>
  </si>
  <si>
    <t xml:space="preserve">FORNECIMENTO DE TORNEIRA DE MESA PARA COZINHA - 1167.C35</t>
  </si>
  <si>
    <t xml:space="preserve">001.08.03.04</t>
  </si>
  <si>
    <t xml:space="preserve">DUCHA HIGIÊNICA</t>
  </si>
  <si>
    <t xml:space="preserve">001.08.03.05</t>
  </si>
  <si>
    <t xml:space="preserve">INSTALAÇÃO DE ACESSÓRIOS PARA CUBA DE AÇO INOX</t>
  </si>
  <si>
    <t xml:space="preserve">001.08.03.06</t>
  </si>
  <si>
    <t xml:space="preserve">INSTALAÇÃO DE ACESSÓRIOS PARA TORNEIRAS</t>
  </si>
  <si>
    <t xml:space="preserve">001.09</t>
  </si>
  <si>
    <t xml:space="preserve">INSTALAÇÕES</t>
  </si>
  <si>
    <t xml:space="preserve">001.09.01</t>
  </si>
  <si>
    <t xml:space="preserve">INSTALAÇÕES ELÉTRICAS</t>
  </si>
  <si>
    <t xml:space="preserve">001.09.01.01</t>
  </si>
  <si>
    <t xml:space="preserve">FORNECIMENTO E EXECUÇÃO DE INSTALAÇÃO ELÉTRICAS E LUMINOTÉCNICAS</t>
  </si>
  <si>
    <t xml:space="preserve">001.09.02</t>
  </si>
  <si>
    <t xml:space="preserve">INSTALAÇÕES DE REDE E TELEFONE</t>
  </si>
  <si>
    <t xml:space="preserve">001.09.02.01</t>
  </si>
  <si>
    <t xml:space="preserve">FORNECIMENTO E EXECUÇÃO DE INSTALAÇÃO REDE/TELEFONE</t>
  </si>
  <si>
    <t xml:space="preserve">001.09.03</t>
  </si>
  <si>
    <t xml:space="preserve">INSTALAÇÕES HIDROSSANITÁRIAS</t>
  </si>
  <si>
    <t xml:space="preserve">001.09.03.01</t>
  </si>
  <si>
    <t xml:space="preserve">FORNECIMENTO E EXECUÇÃO DE INSTALAÇÃO HIDROSSANITÁRIA</t>
  </si>
  <si>
    <t xml:space="preserve">001.09.04</t>
  </si>
  <si>
    <t xml:space="preserve">INSTALAÇÕES FRIGORIGENAS</t>
  </si>
  <si>
    <t xml:space="preserve">001.09.04.01</t>
  </si>
  <si>
    <t xml:space="preserve">FORNECIMENTO E EXECUÇÃO DE INSTALAÇÃO FRIGORÍGENA</t>
  </si>
  <si>
    <t xml:space="preserve">001.09.05</t>
  </si>
  <si>
    <t xml:space="preserve">INSTALAÇÕES DE COMBATE A INCÊNDIO</t>
  </si>
  <si>
    <t xml:space="preserve">001.09.05.01</t>
  </si>
  <si>
    <t xml:space="preserve">FORNECIMENTO E EXECUÇÃO DE INSTALAÇÃO DE COMBATE A INCÊNDIO</t>
  </si>
  <si>
    <t xml:space="preserve">001.10</t>
  </si>
  <si>
    <t xml:space="preserve">LIMPEZA</t>
  </si>
  <si>
    <t xml:space="preserve">001.10.01</t>
  </si>
  <si>
    <t xml:space="preserve">001.10.01.01</t>
  </si>
  <si>
    <t xml:space="preserve">EXECUÇÃO DE LIMPEZA FINAL DE OBRA</t>
  </si>
  <si>
    <t xml:space="preserve">002</t>
  </si>
  <si>
    <t xml:space="preserve">AMBIENTAÇÃO</t>
  </si>
  <si>
    <t xml:space="preserve">002.01</t>
  </si>
  <si>
    <t xml:space="preserve">002.01.01</t>
  </si>
  <si>
    <t xml:space="preserve">MÓVEIS SOLTOS</t>
  </si>
  <si>
    <t xml:space="preserve">002.01.01.01</t>
  </si>
  <si>
    <t xml:space="preserve">FORNECIMENTO DE MÓVEIS SOLTOS</t>
  </si>
  <si>
    <t xml:space="preserve">002.01.02</t>
  </si>
  <si>
    <t xml:space="preserve">ILUMINAÇÃO</t>
  </si>
  <si>
    <t xml:space="preserve">002.01.02.01</t>
  </si>
  <si>
    <t xml:space="preserve">FORNECIMENTO DE ILUMINAÇÃO</t>
  </si>
  <si>
    <t xml:space="preserve">002.01.03</t>
  </si>
  <si>
    <t xml:space="preserve">MARCENARIA</t>
  </si>
  <si>
    <t xml:space="preserve">002.01.03.01</t>
  </si>
  <si>
    <t xml:space="preserve">FORNECIMENTO DE MARCENARIA</t>
  </si>
  <si>
    <t xml:space="preserve">002.01.04</t>
  </si>
  <si>
    <t xml:space="preserve">ELETRODOMÉSTICOS</t>
  </si>
  <si>
    <t xml:space="preserve">002.01.04.01</t>
  </si>
  <si>
    <t xml:space="preserve">FORNECIMENTO DE ELETRODOMÉSTICOS</t>
  </si>
  <si>
    <t xml:space="preserve">Controle Financeiro · Lançamentos</t>
  </si>
  <si>
    <t xml:space="preserve">Cada lançamento é vinculado a um código da EAP do orçamento (coluna F) para o comparativo Orçado x Realizado</t>
  </si>
  <si>
    <t xml:space="preserve">Legenda: fundo amarelo claro = preenchimento manual do vínculo com o orçamento. Coluna G é automática (item da EAP).</t>
  </si>
  <si>
    <t xml:space="preserve">Nº</t>
  </si>
  <si>
    <t xml:space="preserve">Data e hora</t>
  </si>
  <si>
    <t xml:space="preserve">Projeto</t>
  </si>
  <si>
    <t xml:space="preserve">Código EAP</t>
  </si>
  <si>
    <t xml:space="preserve">Item do orçamento (EAP)</t>
  </si>
  <si>
    <t xml:space="preserve">Favorecido</t>
  </si>
  <si>
    <t xml:space="preserve">Instituição (destino)</t>
  </si>
  <si>
    <t xml:space="preserve">Tipo</t>
  </si>
  <si>
    <t xml:space="preserve">Pagador (origem)</t>
  </si>
  <si>
    <t xml:space="preserve">Instituição (origem)</t>
  </si>
  <si>
    <t xml:space="preserve">ID da transação</t>
  </si>
  <si>
    <t xml:space="preserve">Anexo</t>
  </si>
  <si>
    <t xml:space="preserve">Observação</t>
  </si>
  <si>
    <t xml:space="preserve">Clínica Sensi</t>
  </si>
  <si>
    <t xml:space="preserve">Aquisição de tubos e conexões em cobre, esponjosos e itens elétricos</t>
  </si>
  <si>
    <t xml:space="preserve">Alexandre Araujo da Silva</t>
  </si>
  <si>
    <t xml:space="preserve">Caixa Econômica Federal</t>
  </si>
  <si>
    <t xml:space="preserve">Pix</t>
  </si>
  <si>
    <t xml:space="preserve">Vitoria Brenda Borges Aquino</t>
  </si>
  <si>
    <t xml:space="preserve">Nubank (NU Pagamentos - IP)</t>
  </si>
  <si>
    <t xml:space="preserve">E18236120202609231338s104aa8169c</t>
  </si>
  <si>
    <t xml:space="preserve">Ver anexo</t>
  </si>
  <si>
    <t xml:space="preserve">Vínculo assumido: item 001.09.04.01 (Instalação frigorígena). Parte da compra são itens elétricos — confirmar se deve ser rateada com 001.09.01.01.</t>
  </si>
  <si>
    <t xml:space="preserve">Pagamento à Cerâmica Cerbras (revestimento cerâmico)</t>
  </si>
  <si>
    <t xml:space="preserve">Cerâmica Cerbras</t>
  </si>
  <si>
    <t xml:space="preserve">Banco Santander (Brasil) S.A.</t>
  </si>
  <si>
    <t xml:space="preserve">Sabrina Amabili Educação LTDA</t>
  </si>
  <si>
    <t xml:space="preserve">E18236120202609211951s12412875f4</t>
  </si>
  <si>
    <t xml:space="preserve">Vínculo assumido: fornecimento de porcelanato de PISO (001.06.01.02); se for parede, usar 001.06.02.03.</t>
  </si>
  <si>
    <t xml:space="preserve">Anexos · Comprovantes</t>
  </si>
  <si>
    <t xml:space="preserve">Numeração igual à coluna Nº da aba Lançamentos</t>
  </si>
  <si>
    <t xml:space="preserve">01 · Alexandre Araujo da Silva · R$ 4.411,16</t>
  </si>
  <si>
    <t xml:space="preserve">02 · Cerâmica Cerbras · R$ 2.660,36</t>
  </si>
  <si>
    <t xml:space="preserve">Instalações Frigorígenas · 23/09/2026</t>
  </si>
  <si>
    <t xml:space="preserve">Revestimento Cerâmico · 21/09/2026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</si>
</sst>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.00;[RED]\-#,##0.00;\-"/>
    <numFmt numFmtId="168" formatCode="General"/>
    <numFmt numFmtId="169" formatCode="#,##0.0000"/>
    <numFmt numFmtId="170" formatCode="dd/mm/yyyy\ hh: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D3324"/>
      <name val="Georgia"/>
      <family val="0"/>
      <charset val="1"/>
    </font>
    <font>
      <sz val="10"/>
      <color rgb="FFA17C2F"/>
      <name val="Arial"/>
      <family val="0"/>
      <charset val="1"/>
    </font>
    <font>
      <b val="true"/>
      <sz val="10"/>
      <color rgb="FF3D3324"/>
      <name val="Arial"/>
      <family val="0"/>
      <charset val="1"/>
    </font>
    <font>
      <b val="true"/>
      <sz val="12"/>
      <color rgb="FFA17C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D3324"/>
      <name val="Arial"/>
      <family val="0"/>
      <charset val="1"/>
    </font>
    <font>
      <b val="true"/>
      <sz val="10"/>
      <color rgb="FFA17C2F"/>
      <name val="Arial"/>
      <family val="0"/>
      <charset val="1"/>
    </font>
    <font>
      <sz val="9"/>
      <color rgb="FFA17C2F"/>
      <name val="Arial"/>
      <family val="0"/>
      <charset val="1"/>
    </font>
    <font>
      <b val="true"/>
      <sz val="9"/>
      <color rgb="FF3D3324"/>
      <name val="Arial"/>
      <family val="0"/>
      <charset val="1"/>
    </font>
    <font>
      <b val="true"/>
      <sz val="18"/>
      <color rgb="FF3D3324"/>
      <name val="Georgia"/>
      <family val="0"/>
      <charset val="1"/>
    </font>
    <font>
      <i val="true"/>
      <sz val="9"/>
      <color rgb="FFA17C2F"/>
      <name val="Arial"/>
      <family val="0"/>
      <charset val="1"/>
    </font>
    <font>
      <b val="true"/>
      <sz val="11"/>
      <color rgb="FF3D3324"/>
      <name val="Arial"/>
      <family val="0"/>
      <charset val="1"/>
    </font>
    <font>
      <u val="single"/>
      <sz val="10"/>
      <color rgb="FFA17C2F"/>
      <name val="Arial"/>
      <family val="0"/>
      <charset val="1"/>
    </font>
    <font>
      <sz val="9"/>
      <color rgb="FF3D332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7F1E3"/>
        <bgColor rgb="FFFBF7EC"/>
      </patternFill>
    </fill>
    <fill>
      <patternFill patternType="solid">
        <fgColor rgb="FFFFFFFF"/>
        <bgColor rgb="FFFBF7EC"/>
      </patternFill>
    </fill>
    <fill>
      <patternFill patternType="solid">
        <fgColor rgb="FFA17C2F"/>
        <bgColor rgb="FF808080"/>
      </patternFill>
    </fill>
    <fill>
      <patternFill patternType="solid">
        <fgColor rgb="FFFBF7EC"/>
        <bgColor rgb="FFF7F1E3"/>
      </patternFill>
    </fill>
    <fill>
      <patternFill patternType="solid">
        <fgColor rgb="FFEFE3C4"/>
        <bgColor rgb="FFF3EAD2"/>
      </patternFill>
    </fill>
    <fill>
      <patternFill patternType="solid">
        <fgColor rgb="FFF3EAD2"/>
        <bgColor rgb="FFFBF0CF"/>
      </patternFill>
    </fill>
    <fill>
      <patternFill patternType="solid">
        <fgColor rgb="FFFBF0CF"/>
        <bgColor rgb="FFF3EA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9A"/>
      </left>
      <right style="thin">
        <color rgb="FFD9C79A"/>
      </right>
      <top style="thin">
        <color rgb="FFD9C79A"/>
      </top>
      <bottom style="thin">
        <color rgb="FFD9C7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8F3524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17C2F"/>
      <rgbColor rgb="FF800080"/>
      <rgbColor rgb="FF008080"/>
      <rgbColor rgb="FFD9C79A"/>
      <rgbColor rgb="FF808080"/>
      <rgbColor rgb="FF9999FF"/>
      <rgbColor rgb="FF993366"/>
      <rgbColor rgb="FFFBF0CF"/>
      <rgbColor rgb="FFFBF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7F1E3"/>
      <rgbColor rgb="FFF3EAD2"/>
      <rgbColor rgb="FF99CCFF"/>
      <rgbColor rgb="FFFF99CC"/>
      <rgbColor rgb="FFCC99FF"/>
      <rgbColor rgb="FFEFE3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F3524"/>
      <rgbColor rgb="FF993366"/>
      <rgbColor rgb="FF333399"/>
      <rgbColor rgb="FF3D33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100800</xdr:rowOff>
    </xdr:from>
    <xdr:to>
      <xdr:col>1</xdr:col>
      <xdr:colOff>3685680</xdr:colOff>
      <xdr:row>50</xdr:row>
      <xdr:rowOff>100440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419120"/>
          <a:ext cx="3685680" cy="838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100800</xdr:rowOff>
    </xdr:from>
    <xdr:to>
      <xdr:col>2</xdr:col>
      <xdr:colOff>3152520</xdr:colOff>
      <xdr:row>50</xdr:row>
      <xdr:rowOff>100440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299480" y="1419120"/>
          <a:ext cx="3152520" cy="8381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Controle_Financeiro.xlsx" TargetMode="External"/><Relationship Id="rId2" Type="http://schemas.openxmlformats.org/officeDocument/2006/relationships/hyperlink" Target="Controle_Financeir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4.4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24" hidden="false" customHeight="true" outlineLevel="0" collapsed="false">
      <c r="A5" s="1"/>
      <c r="B5" s="4" t="s">
        <v>2</v>
      </c>
      <c r="C5" s="5" t="n">
        <f aca="false">SUMIFS('Orçado x Realizado'!$H$8:$H$98,'Orçado x Realizado'!$C$8:$C$98,1)</f>
        <v>271962.956678787</v>
      </c>
      <c r="D5" s="1"/>
      <c r="E5" s="1"/>
      <c r="F5" s="1"/>
      <c r="G5" s="1"/>
      <c r="H5" s="1"/>
      <c r="I5" s="1"/>
    </row>
    <row r="6" customFormat="false" ht="24" hidden="false" customHeight="true" outlineLevel="0" collapsed="false">
      <c r="A6" s="1"/>
      <c r="B6" s="4" t="s">
        <v>3</v>
      </c>
      <c r="C6" s="5" t="n">
        <f aca="false">SUM(Lançamentos!$O$7:$O$200)</f>
        <v>7071.52</v>
      </c>
      <c r="D6" s="1"/>
      <c r="E6" s="1"/>
      <c r="F6" s="1"/>
      <c r="G6" s="1"/>
      <c r="H6" s="1"/>
      <c r="I6" s="1"/>
    </row>
    <row r="7" customFormat="false" ht="24" hidden="false" customHeight="true" outlineLevel="0" collapsed="false">
      <c r="A7" s="1"/>
      <c r="B7" s="4" t="s">
        <v>4</v>
      </c>
      <c r="C7" s="5" t="n">
        <f aca="false">C5-C6</f>
        <v>264891.436678787</v>
      </c>
      <c r="D7" s="1"/>
      <c r="E7" s="1"/>
      <c r="F7" s="1"/>
      <c r="G7" s="1"/>
      <c r="H7" s="1"/>
      <c r="I7" s="1"/>
    </row>
    <row r="8" customFormat="false" ht="24" hidden="false" customHeight="true" outlineLevel="0" collapsed="false">
      <c r="A8" s="1"/>
      <c r="B8" s="4" t="s">
        <v>5</v>
      </c>
      <c r="C8" s="6" t="n">
        <f aca="false">IF(C5=0,0,C6/C5)</f>
        <v>0.0260017764417531</v>
      </c>
      <c r="D8" s="1"/>
      <c r="E8" s="1"/>
      <c r="F8" s="1"/>
      <c r="G8" s="1"/>
      <c r="H8" s="1"/>
      <c r="I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30" hidden="false" customHeight="true" outlineLevel="0" collapsed="false">
      <c r="A10" s="1"/>
      <c r="B10" s="7" t="s">
        <v>6</v>
      </c>
      <c r="C10" s="7" t="s">
        <v>7</v>
      </c>
      <c r="D10" s="7" t="s">
        <v>8</v>
      </c>
      <c r="E10" s="7" t="s">
        <v>9</v>
      </c>
      <c r="F10" s="7" t="s">
        <v>5</v>
      </c>
      <c r="G10" s="7" t="s">
        <v>10</v>
      </c>
      <c r="H10" s="1"/>
      <c r="I10" s="1"/>
    </row>
    <row r="11" customFormat="false" ht="21.75" hidden="false" customHeight="true" outlineLevel="0" collapsed="false">
      <c r="A11" s="1"/>
      <c r="B11" s="8" t="s">
        <v>11</v>
      </c>
      <c r="C11" s="9" t="n">
        <f aca="false">SUMIFS('Orçado x Realizado'!$H$8:$H$98,'Orçado x Realizado'!$B$8:$B$98,"001.01",'Orçado x Realizado'!$C$8:$C$98,2)</f>
        <v>24985.62</v>
      </c>
      <c r="D11" s="9" t="n">
        <f aca="false">SUMIF(Lançamentos!$F$7:$F$200,"001.01*",Lançamentos!$O$7:$O$200)</f>
        <v>0</v>
      </c>
      <c r="E11" s="9" t="n">
        <f aca="false">C11-D11</f>
        <v>24985.62</v>
      </c>
      <c r="F11" s="10" t="n">
        <f aca="false">IF(C11=0,0,D11/C11)</f>
        <v>0</v>
      </c>
      <c r="G11" s="10" t="n">
        <f aca="false">IF($C$5=0,0,C11/$C$5)</f>
        <v>0.0918714089048176</v>
      </c>
      <c r="H11" s="1"/>
      <c r="I11" s="1"/>
    </row>
    <row r="12" customFormat="false" ht="21.75" hidden="false" customHeight="true" outlineLevel="0" collapsed="false">
      <c r="A12" s="1"/>
      <c r="B12" s="11" t="s">
        <v>12</v>
      </c>
      <c r="C12" s="12" t="n">
        <f aca="false">SUMIFS('Orçado x Realizado'!$H$8:$H$98,'Orçado x Realizado'!$B$8:$B$98,"001.02",'Orçado x Realizado'!$C$8:$C$98,2)</f>
        <v>8695.55962076752</v>
      </c>
      <c r="D12" s="12" t="n">
        <f aca="false">SUMIF(Lançamentos!$F$7:$F$200,"001.02*",Lançamentos!$O$7:$O$200)</f>
        <v>0</v>
      </c>
      <c r="E12" s="12" t="n">
        <f aca="false">C12-D12</f>
        <v>8695.55962076752</v>
      </c>
      <c r="F12" s="13" t="n">
        <f aca="false">IF(C12=0,0,D12/C12)</f>
        <v>0</v>
      </c>
      <c r="G12" s="13" t="n">
        <f aca="false">IF($C$5=0,0,C12/$C$5)</f>
        <v>0.0319733235987642</v>
      </c>
      <c r="H12" s="1"/>
      <c r="I12" s="1"/>
    </row>
    <row r="13" customFormat="false" ht="21.75" hidden="false" customHeight="true" outlineLevel="0" collapsed="false">
      <c r="A13" s="1"/>
      <c r="B13" s="8" t="s">
        <v>13</v>
      </c>
      <c r="C13" s="9" t="n">
        <f aca="false">SUMIFS('Orçado x Realizado'!$H$8:$H$98,'Orçado x Realizado'!$B$8:$B$98,"001.03",'Orçado x Realizado'!$C$8:$C$98,2)</f>
        <v>10849</v>
      </c>
      <c r="D13" s="9" t="n">
        <f aca="false">SUMIF(Lançamentos!$F$7:$F$200,"001.03*",Lançamentos!$O$7:$O$200)</f>
        <v>0</v>
      </c>
      <c r="E13" s="9" t="n">
        <f aca="false">C13-D13</f>
        <v>10849</v>
      </c>
      <c r="F13" s="10" t="n">
        <f aca="false">IF(C13=0,0,D13/C13)</f>
        <v>0</v>
      </c>
      <c r="G13" s="10" t="n">
        <f aca="false">IF($C$5=0,0,C13/$C$5)</f>
        <v>0.0398914621773791</v>
      </c>
      <c r="H13" s="1"/>
      <c r="I13" s="1"/>
    </row>
    <row r="14" customFormat="false" ht="21.75" hidden="false" customHeight="true" outlineLevel="0" collapsed="false">
      <c r="A14" s="1"/>
      <c r="B14" s="11" t="s">
        <v>14</v>
      </c>
      <c r="C14" s="12" t="n">
        <f aca="false">SUMIFS('Orçado x Realizado'!$H$8:$H$98,'Orçado x Realizado'!$B$8:$B$98,"001.04",'Orçado x Realizado'!$C$8:$C$98,2)</f>
        <v>3420</v>
      </c>
      <c r="D14" s="12" t="n">
        <f aca="false">SUMIF(Lançamentos!$F$7:$F$200,"001.04*",Lançamentos!$O$7:$O$200)</f>
        <v>0</v>
      </c>
      <c r="E14" s="12" t="n">
        <f aca="false">C14-D14</f>
        <v>3420</v>
      </c>
      <c r="F14" s="13" t="n">
        <f aca="false">IF(C14=0,0,D14/C14)</f>
        <v>0</v>
      </c>
      <c r="G14" s="13" t="n">
        <f aca="false">IF($C$5=0,0,C14/$C$5)</f>
        <v>0.0125752420173875</v>
      </c>
      <c r="H14" s="1"/>
      <c r="I14" s="1"/>
    </row>
    <row r="15" customFormat="false" ht="21.75" hidden="false" customHeight="true" outlineLevel="0" collapsed="false">
      <c r="A15" s="1"/>
      <c r="B15" s="8" t="s">
        <v>15</v>
      </c>
      <c r="C15" s="9" t="n">
        <f aca="false">SUMIFS('Orçado x Realizado'!$H$8:$H$98,'Orçado x Realizado'!$B$8:$B$98,"001.05",'Orçado x Realizado'!$C$8:$C$98,2)</f>
        <v>6470</v>
      </c>
      <c r="D15" s="9" t="n">
        <f aca="false">SUMIF(Lançamentos!$F$7:$F$200,"001.05*",Lançamentos!$O$7:$O$200)</f>
        <v>0</v>
      </c>
      <c r="E15" s="9" t="n">
        <f aca="false">C15-D15</f>
        <v>6470</v>
      </c>
      <c r="F15" s="10" t="n">
        <f aca="false">IF(C15=0,0,D15/C15)</f>
        <v>0</v>
      </c>
      <c r="G15" s="10" t="n">
        <f aca="false">IF($C$5=0,0,C15/$C$5)</f>
        <v>0.023790004635233</v>
      </c>
      <c r="H15" s="1"/>
      <c r="I15" s="1"/>
    </row>
    <row r="16" customFormat="false" ht="21.75" hidden="false" customHeight="true" outlineLevel="0" collapsed="false">
      <c r="A16" s="1"/>
      <c r="B16" s="11" t="s">
        <v>16</v>
      </c>
      <c r="C16" s="12" t="n">
        <f aca="false">SUMIFS('Orçado x Realizado'!$H$8:$H$98,'Orçado x Realizado'!$B$8:$B$98,"001.06",'Orçado x Realizado'!$C$8:$C$98,2)</f>
        <v>24342.7362335651</v>
      </c>
      <c r="D16" s="12" t="n">
        <f aca="false">SUMIF(Lançamentos!$F$7:$F$200,"001.06*",Lançamentos!$O$7:$O$200)</f>
        <v>2660.36</v>
      </c>
      <c r="E16" s="12" t="n">
        <f aca="false">C16-D16</f>
        <v>21682.3762335651</v>
      </c>
      <c r="F16" s="13" t="n">
        <f aca="false">IF(C16=0,0,D16/C16)</f>
        <v>0.109287632026007</v>
      </c>
      <c r="G16" s="13" t="n">
        <f aca="false">IF($C$5=0,0,C16/$C$5)</f>
        <v>0.0895075437141835</v>
      </c>
      <c r="H16" s="1"/>
      <c r="I16" s="1"/>
    </row>
    <row r="17" customFormat="false" ht="21.75" hidden="false" customHeight="true" outlineLevel="0" collapsed="false">
      <c r="A17" s="1"/>
      <c r="B17" s="8" t="s">
        <v>17</v>
      </c>
      <c r="C17" s="9" t="n">
        <f aca="false">SUMIFS('Orçado x Realizado'!$H$8:$H$98,'Orçado x Realizado'!$B$8:$B$98,"001.07",'Orçado x Realizado'!$C$8:$C$98,2)</f>
        <v>18185.803546704</v>
      </c>
      <c r="D17" s="9" t="n">
        <f aca="false">SUMIF(Lançamentos!$F$7:$F$200,"001.07*",Lançamentos!$O$7:$O$200)</f>
        <v>0</v>
      </c>
      <c r="E17" s="9" t="n">
        <f aca="false">C17-D17</f>
        <v>18185.803546704</v>
      </c>
      <c r="F17" s="10" t="n">
        <f aca="false">IF(C17=0,0,D17/C17)</f>
        <v>0</v>
      </c>
      <c r="G17" s="10" t="n">
        <f aca="false">IF($C$5=0,0,C17/$C$5)</f>
        <v>0.0668686786200193</v>
      </c>
      <c r="H17" s="1"/>
      <c r="I17" s="1"/>
    </row>
    <row r="18" customFormat="false" ht="21.75" hidden="false" customHeight="true" outlineLevel="0" collapsed="false">
      <c r="A18" s="1"/>
      <c r="B18" s="11" t="s">
        <v>18</v>
      </c>
      <c r="C18" s="12" t="n">
        <f aca="false">SUMIFS('Orçado x Realizado'!$H$8:$H$98,'Orçado x Realizado'!$B$8:$B$98,"001.08",'Orçado x Realizado'!$C$8:$C$98,2)</f>
        <v>12515.07727775</v>
      </c>
      <c r="D18" s="12" t="n">
        <f aca="false">SUMIF(Lançamentos!$F$7:$F$200,"001.08*",Lançamentos!$O$7:$O$200)</f>
        <v>0</v>
      </c>
      <c r="E18" s="12" t="n">
        <f aca="false">C18-D18</f>
        <v>12515.07727775</v>
      </c>
      <c r="F18" s="13" t="n">
        <f aca="false">IF(C18=0,0,D18/C18)</f>
        <v>0</v>
      </c>
      <c r="G18" s="13" t="n">
        <f aca="false">IF($C$5=0,0,C18/$C$5)</f>
        <v>0.0460175805947406</v>
      </c>
      <c r="H18" s="1"/>
      <c r="I18" s="1"/>
    </row>
    <row r="19" customFormat="false" ht="21.75" hidden="false" customHeight="true" outlineLevel="0" collapsed="false">
      <c r="A19" s="1"/>
      <c r="B19" s="8" t="s">
        <v>19</v>
      </c>
      <c r="C19" s="9" t="n">
        <f aca="false">SUMIFS('Orçado x Realizado'!$H$8:$H$98,'Orçado x Realizado'!$B$8:$B$98,"001.09",'Orçado x Realizado'!$C$8:$C$98,2)</f>
        <v>32986.26</v>
      </c>
      <c r="D19" s="9" t="n">
        <f aca="false">SUMIF(Lançamentos!$F$7:$F$200,"001.09*",Lançamentos!$O$7:$O$200)</f>
        <v>4411.16</v>
      </c>
      <c r="E19" s="9" t="n">
        <f aca="false">C19-D19</f>
        <v>28575.1</v>
      </c>
      <c r="F19" s="10" t="n">
        <f aca="false">IF(C19=0,0,D19/C19)</f>
        <v>0.133727194292411</v>
      </c>
      <c r="G19" s="10" t="n">
        <f aca="false">IF($C$5=0,0,C19/$C$5)</f>
        <v>0.121289532967388</v>
      </c>
      <c r="H19" s="1"/>
      <c r="I19" s="1"/>
    </row>
    <row r="20" customFormat="false" ht="21.75" hidden="false" customHeight="true" outlineLevel="0" collapsed="false">
      <c r="A20" s="1"/>
      <c r="B20" s="11" t="s">
        <v>20</v>
      </c>
      <c r="C20" s="12" t="n">
        <f aca="false">SUMIFS('Orçado x Realizado'!$H$8:$H$98,'Orçado x Realizado'!$B$8:$B$98,"001.10",'Orçado x Realizado'!$C$8:$C$98,2)</f>
        <v>1498.34</v>
      </c>
      <c r="D20" s="12" t="n">
        <f aca="false">SUMIF(Lançamentos!$F$7:$F$200,"001.10*",Lançamentos!$O$7:$O$200)</f>
        <v>0</v>
      </c>
      <c r="E20" s="12" t="n">
        <f aca="false">C20-D20</f>
        <v>1498.34</v>
      </c>
      <c r="F20" s="13" t="n">
        <f aca="false">IF(C20=0,0,D20/C20)</f>
        <v>0</v>
      </c>
      <c r="G20" s="13" t="n">
        <f aca="false">IF($C$5=0,0,C20/$C$5)</f>
        <v>0.00550935325272875</v>
      </c>
      <c r="H20" s="1"/>
      <c r="I20" s="1"/>
    </row>
    <row r="21" customFormat="false" ht="21.75" hidden="false" customHeight="true" outlineLevel="0" collapsed="false">
      <c r="A21" s="1"/>
      <c r="B21" s="8" t="s">
        <v>21</v>
      </c>
      <c r="C21" s="9" t="n">
        <f aca="false">SUMIFS('Orçado x Realizado'!$H$8:$H$98,'Orçado x Realizado'!$B$8:$B$98,"002.01",'Orçado x Realizado'!$C$8:$C$98,2)</f>
        <v>128014.56</v>
      </c>
      <c r="D21" s="9" t="n">
        <f aca="false">SUMIF(Lançamentos!$F$7:$F$200,"002.01*",Lançamentos!$O$7:$O$200)</f>
        <v>0</v>
      </c>
      <c r="E21" s="9" t="n">
        <f aca="false">C21-D21</f>
        <v>128014.56</v>
      </c>
      <c r="F21" s="10" t="n">
        <f aca="false">IF(C21=0,0,D21/C21)</f>
        <v>0</v>
      </c>
      <c r="G21" s="10" t="n">
        <f aca="false">IF($C$5=0,0,C21/$C$5)</f>
        <v>0.470705869517359</v>
      </c>
      <c r="H21" s="1"/>
      <c r="I21" s="1"/>
    </row>
    <row r="22" customFormat="false" ht="21.75" hidden="false" customHeight="true" outlineLevel="0" collapsed="false">
      <c r="A22" s="1"/>
      <c r="B22" s="14" t="s">
        <v>22</v>
      </c>
      <c r="C22" s="15" t="n">
        <f aca="false">SUM(C11:C21)</f>
        <v>271962.956678787</v>
      </c>
      <c r="D22" s="15" t="n">
        <f aca="false">SUM(D11:D21)</f>
        <v>7071.52</v>
      </c>
      <c r="E22" s="15" t="n">
        <f aca="false">C22-D22</f>
        <v>264891.436678787</v>
      </c>
      <c r="F22" s="16" t="n">
        <f aca="false">IF(C22=0,0,D22/C22)</f>
        <v>0.0260017764417531</v>
      </c>
      <c r="G22" s="16" t="n">
        <f aca="false">SUM(G11:G21)</f>
        <v>1</v>
      </c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7" t="s">
        <v>23</v>
      </c>
      <c r="C24" s="1"/>
      <c r="D24" s="1"/>
      <c r="E24" s="1"/>
      <c r="F24" s="1"/>
      <c r="G24" s="1"/>
      <c r="H24" s="1"/>
      <c r="I24" s="1"/>
    </row>
    <row r="25" customFormat="false" ht="24" hidden="false" customHeight="true" outlineLevel="0" collapsed="false">
      <c r="A25" s="1"/>
      <c r="B25" s="7" t="s">
        <v>24</v>
      </c>
      <c r="C25" s="7" t="s">
        <v>25</v>
      </c>
      <c r="D25" s="7" t="s">
        <v>26</v>
      </c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8" t="s">
        <v>27</v>
      </c>
      <c r="C26" s="19" t="n">
        <f aca="false">COUNTIF(Lançamentos!$E$7:$E$200,B26)</f>
        <v>1</v>
      </c>
      <c r="D26" s="20" t="n">
        <f aca="false">SUMIF(Lançamentos!$E$7:$E$200,B26,Lançamentos!$O$7:$O$200)</f>
        <v>4411.16</v>
      </c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8" t="s">
        <v>28</v>
      </c>
      <c r="C27" s="19" t="n">
        <f aca="false">COUNTIF(Lançamentos!$E$7:$E$200,B27)</f>
        <v>1</v>
      </c>
      <c r="D27" s="20" t="n">
        <f aca="false">SUMIF(Lançamentos!$E$7:$E$200,B27,Lançamentos!$O$7:$O$200)</f>
        <v>2660.36</v>
      </c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21" t="s">
        <v>22</v>
      </c>
      <c r="C28" s="22" t="n">
        <f aca="false">SUM(C26:C27)</f>
        <v>2</v>
      </c>
      <c r="D28" s="23" t="n">
        <f aca="false">SUM(D26:D27)</f>
        <v>7071.52</v>
      </c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24" t="s">
        <v>29</v>
      </c>
      <c r="C30" s="1"/>
      <c r="D30" s="25" t="str">
        <f aca="false">IF(ROUND(D22-C6,2)=0,"OK","REVISAR: há lançamentos sem código EAP ou com código inválido")</f>
        <v>OK</v>
      </c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</sheetData>
  <conditionalFormatting sqref="F11:F22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3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62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10" min="7" style="0" width="16"/>
    <col collapsed="false" customWidth="true" hidden="false" outlineLevel="0" max="11" min="11" style="0" width="12"/>
    <col collapsed="false" customWidth="true" hidden="false" outlineLevel="0" max="12" min="12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2.05" hidden="false" customHeight="false" outlineLevel="0" collapsed="false">
      <c r="A2" s="1"/>
      <c r="B2" s="26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24" t="s">
        <v>31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27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30" hidden="false" customHeight="true" outlineLevel="0" collapsed="false">
      <c r="A7" s="1"/>
      <c r="B7" s="7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7" t="s">
        <v>38</v>
      </c>
      <c r="H7" s="7" t="s">
        <v>7</v>
      </c>
      <c r="I7" s="7" t="s">
        <v>8</v>
      </c>
      <c r="J7" s="7" t="s">
        <v>9</v>
      </c>
      <c r="K7" s="7" t="s">
        <v>5</v>
      </c>
      <c r="L7" s="1"/>
    </row>
    <row r="8" customFormat="false" ht="21.75" hidden="false" customHeight="true" outlineLevel="0" collapsed="false">
      <c r="A8" s="1"/>
      <c r="B8" s="28" t="s">
        <v>39</v>
      </c>
      <c r="C8" s="29" t="n">
        <v>1</v>
      </c>
      <c r="D8" s="30" t="s">
        <v>40</v>
      </c>
      <c r="E8" s="29"/>
      <c r="F8" s="31"/>
      <c r="G8" s="32"/>
      <c r="H8" s="32" t="n">
        <f aca="false">SUMIFS($H$8:$H$98,$B$8:$B$98,B8&amp;"*",$C$8:$C$98,4)</f>
        <v>143948.396678787</v>
      </c>
      <c r="I8" s="32" t="n">
        <f aca="false">SUMIF(Lançamentos!$F$7:$F$200,B8&amp;"*",Lançamentos!$O$7:$O$200)</f>
        <v>7071.52</v>
      </c>
      <c r="J8" s="32" t="n">
        <f aca="false">H8-I8</f>
        <v>136876.876678787</v>
      </c>
      <c r="K8" s="33" t="n">
        <f aca="false">IF(H8=0,0,I8/H8)</f>
        <v>0.0491253821727499</v>
      </c>
      <c r="L8" s="1"/>
    </row>
    <row r="9" customFormat="false" ht="21.75" hidden="false" customHeight="true" outlineLevel="1" collapsed="false">
      <c r="A9" s="1"/>
      <c r="B9" s="34" t="s">
        <v>41</v>
      </c>
      <c r="C9" s="35" t="n">
        <v>2</v>
      </c>
      <c r="D9" s="36" t="s">
        <v>42</v>
      </c>
      <c r="E9" s="35"/>
      <c r="F9" s="37"/>
      <c r="G9" s="38"/>
      <c r="H9" s="38" t="n">
        <f aca="false">SUMIFS($H$8:$H$98,$B$8:$B$98,B9&amp;"*",$C$8:$C$98,4)</f>
        <v>24985.62</v>
      </c>
      <c r="I9" s="38" t="n">
        <f aca="false">SUMIF(Lançamentos!$F$7:$F$200,B9&amp;"*",Lançamentos!$O$7:$O$200)</f>
        <v>0</v>
      </c>
      <c r="J9" s="38" t="n">
        <f aca="false">H9-I9</f>
        <v>24985.62</v>
      </c>
      <c r="K9" s="39" t="n">
        <f aca="false">IF(H9=0,0,I9/H9)</f>
        <v>0</v>
      </c>
      <c r="L9" s="1"/>
    </row>
    <row r="10" customFormat="false" ht="21.75" hidden="false" customHeight="true" outlineLevel="2" collapsed="false">
      <c r="A10" s="1"/>
      <c r="B10" s="11" t="s">
        <v>43</v>
      </c>
      <c r="C10" s="40" t="n">
        <v>3</v>
      </c>
      <c r="D10" s="41" t="s">
        <v>44</v>
      </c>
      <c r="E10" s="40"/>
      <c r="F10" s="42"/>
      <c r="G10" s="12"/>
      <c r="H10" s="12" t="n">
        <f aca="false">SUMIFS($H$8:$H$98,$B$8:$B$98,B10&amp;"*",$C$8:$C$98,4)</f>
        <v>3185.62</v>
      </c>
      <c r="I10" s="12" t="n">
        <f aca="false">SUMIF(Lançamentos!$F$7:$F$200,B10&amp;"*",Lançamentos!$O$7:$O$200)</f>
        <v>0</v>
      </c>
      <c r="J10" s="12" t="n">
        <f aca="false">H10-I10</f>
        <v>3185.62</v>
      </c>
      <c r="K10" s="13" t="n">
        <f aca="false">IF(H10=0,0,I10/H10)</f>
        <v>0</v>
      </c>
      <c r="L10" s="1"/>
    </row>
    <row r="11" customFormat="false" ht="30" hidden="false" customHeight="true" outlineLevel="3" collapsed="false">
      <c r="A11" s="1"/>
      <c r="B11" s="8" t="s">
        <v>45</v>
      </c>
      <c r="C11" s="43" t="n">
        <v>4</v>
      </c>
      <c r="D11" s="44" t="s">
        <v>46</v>
      </c>
      <c r="E11" s="43" t="s">
        <v>47</v>
      </c>
      <c r="F11" s="45" t="n">
        <v>1</v>
      </c>
      <c r="G11" s="9" t="n">
        <v>200</v>
      </c>
      <c r="H11" s="9" t="n">
        <v>200</v>
      </c>
      <c r="I11" s="9" t="n">
        <f aca="false">SUMIF(Lançamentos!$F$7:$F$200,B11&amp;"*",Lançamentos!$O$7:$O$200)</f>
        <v>0</v>
      </c>
      <c r="J11" s="9" t="n">
        <f aca="false">H11-I11</f>
        <v>200</v>
      </c>
      <c r="K11" s="10" t="n">
        <f aca="false">IF(H11=0,0,I11/H11)</f>
        <v>0</v>
      </c>
      <c r="L11" s="1"/>
    </row>
    <row r="12" customFormat="false" ht="30" hidden="false" customHeight="true" outlineLevel="3" collapsed="false">
      <c r="A12" s="1"/>
      <c r="B12" s="8" t="s">
        <v>48</v>
      </c>
      <c r="C12" s="43" t="n">
        <v>4</v>
      </c>
      <c r="D12" s="44" t="s">
        <v>49</v>
      </c>
      <c r="E12" s="43" t="s">
        <v>50</v>
      </c>
      <c r="F12" s="45" t="n">
        <v>1</v>
      </c>
      <c r="G12" s="9" t="n">
        <v>985.62</v>
      </c>
      <c r="H12" s="9" t="n">
        <v>985.62</v>
      </c>
      <c r="I12" s="9" t="n">
        <f aca="false">SUMIF(Lançamentos!$F$7:$F$200,B12&amp;"*",Lançamentos!$O$7:$O$200)</f>
        <v>0</v>
      </c>
      <c r="J12" s="9" t="n">
        <f aca="false">H12-I12</f>
        <v>985.62</v>
      </c>
      <c r="K12" s="10" t="n">
        <f aca="false">IF(H12=0,0,I12/H12)</f>
        <v>0</v>
      </c>
      <c r="L12" s="1"/>
    </row>
    <row r="13" customFormat="false" ht="30" hidden="false" customHeight="true" outlineLevel="3" collapsed="false">
      <c r="A13" s="1"/>
      <c r="B13" s="8" t="s">
        <v>51</v>
      </c>
      <c r="C13" s="43" t="n">
        <v>4</v>
      </c>
      <c r="D13" s="44" t="s">
        <v>52</v>
      </c>
      <c r="E13" s="43" t="s">
        <v>47</v>
      </c>
      <c r="F13" s="45" t="n">
        <v>1</v>
      </c>
      <c r="G13" s="9" t="n">
        <v>2000</v>
      </c>
      <c r="H13" s="9" t="n">
        <v>2000</v>
      </c>
      <c r="I13" s="9" t="n">
        <f aca="false">SUMIF(Lançamentos!$F$7:$F$200,B13&amp;"*",Lançamentos!$O$7:$O$200)</f>
        <v>0</v>
      </c>
      <c r="J13" s="9" t="n">
        <f aca="false">H13-I13</f>
        <v>2000</v>
      </c>
      <c r="K13" s="10" t="n">
        <f aca="false">IF(H13=0,0,I13/H13)</f>
        <v>0</v>
      </c>
      <c r="L13" s="1"/>
    </row>
    <row r="14" customFormat="false" ht="21.75" hidden="false" customHeight="true" outlineLevel="2" collapsed="false">
      <c r="A14" s="1"/>
      <c r="B14" s="11" t="s">
        <v>53</v>
      </c>
      <c r="C14" s="40" t="n">
        <v>3</v>
      </c>
      <c r="D14" s="41" t="s">
        <v>54</v>
      </c>
      <c r="E14" s="40"/>
      <c r="F14" s="42"/>
      <c r="G14" s="12"/>
      <c r="H14" s="12" t="n">
        <f aca="false">SUMIFS($H$8:$H$98,$B$8:$B$98,B14&amp;"*",$C$8:$C$98,4)</f>
        <v>17400</v>
      </c>
      <c r="I14" s="12" t="n">
        <f aca="false">SUMIF(Lançamentos!$F$7:$F$200,B14&amp;"*",Lançamentos!$O$7:$O$200)</f>
        <v>0</v>
      </c>
      <c r="J14" s="12" t="n">
        <f aca="false">H14-I14</f>
        <v>17400</v>
      </c>
      <c r="K14" s="13" t="n">
        <f aca="false">IF(H14=0,0,I14/H14)</f>
        <v>0</v>
      </c>
      <c r="L14" s="1"/>
    </row>
    <row r="15" customFormat="false" ht="30" hidden="false" customHeight="true" outlineLevel="3" collapsed="false">
      <c r="A15" s="1"/>
      <c r="B15" s="8" t="s">
        <v>55</v>
      </c>
      <c r="C15" s="43" t="n">
        <v>4</v>
      </c>
      <c r="D15" s="44" t="s">
        <v>56</v>
      </c>
      <c r="E15" s="43" t="s">
        <v>50</v>
      </c>
      <c r="F15" s="45" t="n">
        <v>3</v>
      </c>
      <c r="G15" s="9" t="n">
        <v>5800</v>
      </c>
      <c r="H15" s="9" t="n">
        <v>17400</v>
      </c>
      <c r="I15" s="9" t="n">
        <f aca="false">SUMIF(Lançamentos!$F$7:$F$200,B15&amp;"*",Lançamentos!$O$7:$O$200)</f>
        <v>0</v>
      </c>
      <c r="J15" s="9" t="n">
        <f aca="false">H15-I15</f>
        <v>17400</v>
      </c>
      <c r="K15" s="10" t="n">
        <f aca="false">IF(H15=0,0,I15/H15)</f>
        <v>0</v>
      </c>
      <c r="L15" s="1"/>
    </row>
    <row r="16" customFormat="false" ht="21.75" hidden="false" customHeight="true" outlineLevel="2" collapsed="false">
      <c r="A16" s="1"/>
      <c r="B16" s="11" t="s">
        <v>57</v>
      </c>
      <c r="C16" s="40" t="n">
        <v>3</v>
      </c>
      <c r="D16" s="41" t="s">
        <v>58</v>
      </c>
      <c r="E16" s="40"/>
      <c r="F16" s="42"/>
      <c r="G16" s="12"/>
      <c r="H16" s="12" t="n">
        <f aca="false">SUMIFS($H$8:$H$98,$B$8:$B$98,B16&amp;"*",$C$8:$C$98,4)</f>
        <v>2400</v>
      </c>
      <c r="I16" s="12" t="n">
        <f aca="false">SUMIF(Lançamentos!$F$7:$F$200,B16&amp;"*",Lançamentos!$O$7:$O$200)</f>
        <v>0</v>
      </c>
      <c r="J16" s="12" t="n">
        <f aca="false">H16-I16</f>
        <v>2400</v>
      </c>
      <c r="K16" s="13" t="n">
        <f aca="false">IF(H16=0,0,I16/H16)</f>
        <v>0</v>
      </c>
      <c r="L16" s="1"/>
    </row>
    <row r="17" customFormat="false" ht="30" hidden="false" customHeight="true" outlineLevel="3" collapsed="false">
      <c r="A17" s="1"/>
      <c r="B17" s="8" t="s">
        <v>59</v>
      </c>
      <c r="C17" s="43" t="n">
        <v>4</v>
      </c>
      <c r="D17" s="44" t="s">
        <v>60</v>
      </c>
      <c r="E17" s="43" t="s">
        <v>50</v>
      </c>
      <c r="F17" s="45" t="n">
        <v>1</v>
      </c>
      <c r="G17" s="9" t="n">
        <v>2400</v>
      </c>
      <c r="H17" s="9" t="n">
        <v>2400</v>
      </c>
      <c r="I17" s="9" t="n">
        <f aca="false">SUMIF(Lançamentos!$F$7:$F$200,B17&amp;"*",Lançamentos!$O$7:$O$200)</f>
        <v>0</v>
      </c>
      <c r="J17" s="9" t="n">
        <f aca="false">H17-I17</f>
        <v>2400</v>
      </c>
      <c r="K17" s="10" t="n">
        <f aca="false">IF(H17=0,0,I17/H17)</f>
        <v>0</v>
      </c>
      <c r="L17" s="1"/>
    </row>
    <row r="18" customFormat="false" ht="21.75" hidden="false" customHeight="true" outlineLevel="2" collapsed="false">
      <c r="A18" s="1"/>
      <c r="B18" s="11" t="s">
        <v>61</v>
      </c>
      <c r="C18" s="40" t="n">
        <v>3</v>
      </c>
      <c r="D18" s="41" t="s">
        <v>62</v>
      </c>
      <c r="E18" s="40"/>
      <c r="F18" s="42"/>
      <c r="G18" s="12"/>
      <c r="H18" s="12" t="n">
        <f aca="false">SUMIFS($H$8:$H$98,$B$8:$B$98,B18&amp;"*",$C$8:$C$98,4)</f>
        <v>2000</v>
      </c>
      <c r="I18" s="12" t="n">
        <f aca="false">SUMIF(Lançamentos!$F$7:$F$200,B18&amp;"*",Lançamentos!$O$7:$O$200)</f>
        <v>0</v>
      </c>
      <c r="J18" s="12" t="n">
        <f aca="false">H18-I18</f>
        <v>2000</v>
      </c>
      <c r="K18" s="13" t="n">
        <f aca="false">IF(H18=0,0,I18/H18)</f>
        <v>0</v>
      </c>
      <c r="L18" s="1"/>
    </row>
    <row r="19" customFormat="false" ht="30" hidden="false" customHeight="true" outlineLevel="3" collapsed="false">
      <c r="A19" s="1"/>
      <c r="B19" s="8" t="s">
        <v>63</v>
      </c>
      <c r="C19" s="43" t="n">
        <v>4</v>
      </c>
      <c r="D19" s="44" t="s">
        <v>64</v>
      </c>
      <c r="E19" s="43" t="s">
        <v>47</v>
      </c>
      <c r="F19" s="45" t="n">
        <v>1</v>
      </c>
      <c r="G19" s="9" t="n">
        <v>2000</v>
      </c>
      <c r="H19" s="9" t="n">
        <v>2000</v>
      </c>
      <c r="I19" s="9" t="n">
        <f aca="false">SUMIF(Lançamentos!$F$7:$F$200,B19&amp;"*",Lançamentos!$O$7:$O$200)</f>
        <v>0</v>
      </c>
      <c r="J19" s="9" t="n">
        <f aca="false">H19-I19</f>
        <v>2000</v>
      </c>
      <c r="K19" s="10" t="n">
        <f aca="false">IF(H19=0,0,I19/H19)</f>
        <v>0</v>
      </c>
      <c r="L19" s="1"/>
    </row>
    <row r="20" customFormat="false" ht="21.75" hidden="false" customHeight="true" outlineLevel="1" collapsed="false">
      <c r="A20" s="1"/>
      <c r="B20" s="34" t="s">
        <v>65</v>
      </c>
      <c r="C20" s="35" t="n">
        <v>2</v>
      </c>
      <c r="D20" s="36" t="s">
        <v>66</v>
      </c>
      <c r="E20" s="35"/>
      <c r="F20" s="37"/>
      <c r="G20" s="38"/>
      <c r="H20" s="38" t="n">
        <f aca="false">SUMIFS($H$8:$H$98,$B$8:$B$98,B20&amp;"*",$C$8:$C$98,4)</f>
        <v>8695.55962076752</v>
      </c>
      <c r="I20" s="38" t="n">
        <f aca="false">SUMIF(Lançamentos!$F$7:$F$200,B20&amp;"*",Lançamentos!$O$7:$O$200)</f>
        <v>0</v>
      </c>
      <c r="J20" s="38" t="n">
        <f aca="false">H20-I20</f>
        <v>8695.55962076752</v>
      </c>
      <c r="K20" s="39" t="n">
        <f aca="false">IF(H20=0,0,I20/H20)</f>
        <v>0</v>
      </c>
      <c r="L20" s="1"/>
    </row>
    <row r="21" customFormat="false" ht="21.75" hidden="false" customHeight="true" outlineLevel="2" collapsed="false">
      <c r="A21" s="1"/>
      <c r="B21" s="11" t="s">
        <v>67</v>
      </c>
      <c r="C21" s="40" t="n">
        <v>3</v>
      </c>
      <c r="D21" s="41" t="s">
        <v>66</v>
      </c>
      <c r="E21" s="40"/>
      <c r="F21" s="42"/>
      <c r="G21" s="12"/>
      <c r="H21" s="12" t="n">
        <f aca="false">SUMIFS($H$8:$H$98,$B$8:$B$98,B21&amp;"*",$C$8:$C$98,4)</f>
        <v>8695.55962076752</v>
      </c>
      <c r="I21" s="12" t="n">
        <f aca="false">SUMIF(Lançamentos!$F$7:$F$200,B21&amp;"*",Lançamentos!$O$7:$O$200)</f>
        <v>0</v>
      </c>
      <c r="J21" s="12" t="n">
        <f aca="false">H21-I21</f>
        <v>8695.55962076752</v>
      </c>
      <c r="K21" s="13" t="n">
        <f aca="false">IF(H21=0,0,I21/H21)</f>
        <v>0</v>
      </c>
      <c r="L21" s="1"/>
    </row>
    <row r="22" customFormat="false" ht="30" hidden="false" customHeight="true" outlineLevel="3" collapsed="false">
      <c r="A22" s="1"/>
      <c r="B22" s="8" t="s">
        <v>68</v>
      </c>
      <c r="C22" s="43" t="n">
        <v>4</v>
      </c>
      <c r="D22" s="44" t="s">
        <v>69</v>
      </c>
      <c r="E22" s="43" t="s">
        <v>70</v>
      </c>
      <c r="F22" s="45" t="n">
        <v>39.4259</v>
      </c>
      <c r="G22" s="9" t="n">
        <v>71.44632</v>
      </c>
      <c r="H22" s="9" t="n">
        <v>2816.835467688</v>
      </c>
      <c r="I22" s="9" t="n">
        <f aca="false">SUMIF(Lançamentos!$F$7:$F$200,B22&amp;"*",Lançamentos!$O$7:$O$200)</f>
        <v>0</v>
      </c>
      <c r="J22" s="9" t="n">
        <f aca="false">H22-I22</f>
        <v>2816.835467688</v>
      </c>
      <c r="K22" s="10" t="n">
        <f aca="false">IF(H22=0,0,I22/H22)</f>
        <v>0</v>
      </c>
      <c r="L22" s="1"/>
    </row>
    <row r="23" customFormat="false" ht="30" hidden="false" customHeight="true" outlineLevel="3" collapsed="false">
      <c r="A23" s="1"/>
      <c r="B23" s="8" t="s">
        <v>71</v>
      </c>
      <c r="C23" s="43" t="n">
        <v>4</v>
      </c>
      <c r="D23" s="44" t="s">
        <v>72</v>
      </c>
      <c r="E23" s="43" t="s">
        <v>70</v>
      </c>
      <c r="F23" s="45" t="n">
        <v>39.4259</v>
      </c>
      <c r="G23" s="9" t="n">
        <v>1.9848528</v>
      </c>
      <c r="H23" s="9" t="n">
        <v>78.25460800752</v>
      </c>
      <c r="I23" s="9" t="n">
        <f aca="false">SUMIF(Lançamentos!$F$7:$F$200,B23&amp;"*",Lançamentos!$O$7:$O$200)</f>
        <v>0</v>
      </c>
      <c r="J23" s="9" t="n">
        <f aca="false">H23-I23</f>
        <v>78.25460800752</v>
      </c>
      <c r="K23" s="10" t="n">
        <f aca="false">IF(H23=0,0,I23/H23)</f>
        <v>0</v>
      </c>
      <c r="L23" s="1"/>
    </row>
    <row r="24" customFormat="false" ht="30" hidden="false" customHeight="true" outlineLevel="3" collapsed="false">
      <c r="A24" s="1"/>
      <c r="B24" s="8" t="s">
        <v>73</v>
      </c>
      <c r="C24" s="43" t="n">
        <v>4</v>
      </c>
      <c r="D24" s="44" t="s">
        <v>74</v>
      </c>
      <c r="E24" s="43" t="s">
        <v>70</v>
      </c>
      <c r="F24" s="45" t="n">
        <v>39.4259</v>
      </c>
      <c r="G24" s="9" t="n">
        <v>49.16736</v>
      </c>
      <c r="H24" s="9" t="n">
        <v>1938.467418624</v>
      </c>
      <c r="I24" s="9" t="n">
        <f aca="false">SUMIF(Lançamentos!$F$7:$F$200,B24&amp;"*",Lançamentos!$O$7:$O$200)</f>
        <v>0</v>
      </c>
      <c r="J24" s="9" t="n">
        <f aca="false">H24-I24</f>
        <v>1938.467418624</v>
      </c>
      <c r="K24" s="10" t="n">
        <f aca="false">IF(H24=0,0,I24/H24)</f>
        <v>0</v>
      </c>
      <c r="L24" s="1"/>
    </row>
    <row r="25" customFormat="false" ht="30" hidden="false" customHeight="true" outlineLevel="3" collapsed="false">
      <c r="A25" s="1"/>
      <c r="B25" s="8" t="s">
        <v>75</v>
      </c>
      <c r="C25" s="43" t="n">
        <v>4</v>
      </c>
      <c r="D25" s="44" t="s">
        <v>76</v>
      </c>
      <c r="E25" s="43" t="s">
        <v>70</v>
      </c>
      <c r="F25" s="45" t="n">
        <v>5</v>
      </c>
      <c r="G25" s="9" t="n">
        <v>44.55792</v>
      </c>
      <c r="H25" s="9" t="n">
        <v>222.7896</v>
      </c>
      <c r="I25" s="9" t="n">
        <f aca="false">SUMIF(Lançamentos!$F$7:$F$200,B25&amp;"*",Lançamentos!$O$7:$O$200)</f>
        <v>0</v>
      </c>
      <c r="J25" s="9" t="n">
        <f aca="false">H25-I25</f>
        <v>222.7896</v>
      </c>
      <c r="K25" s="10" t="n">
        <f aca="false">IF(H25=0,0,I25/H25)</f>
        <v>0</v>
      </c>
      <c r="L25" s="1"/>
    </row>
    <row r="26" customFormat="false" ht="30" hidden="false" customHeight="true" outlineLevel="3" collapsed="false">
      <c r="A26" s="1"/>
      <c r="B26" s="8" t="s">
        <v>77</v>
      </c>
      <c r="C26" s="43" t="n">
        <v>4</v>
      </c>
      <c r="D26" s="44" t="s">
        <v>78</v>
      </c>
      <c r="E26" s="43" t="s">
        <v>79</v>
      </c>
      <c r="F26" s="45" t="n">
        <v>18</v>
      </c>
      <c r="G26" s="9" t="n">
        <v>122.5</v>
      </c>
      <c r="H26" s="9" t="n">
        <v>2205</v>
      </c>
      <c r="I26" s="9" t="n">
        <f aca="false">SUMIF(Lançamentos!$F$7:$F$200,B26&amp;"*",Lançamentos!$O$7:$O$200)</f>
        <v>0</v>
      </c>
      <c r="J26" s="9" t="n">
        <f aca="false">H26-I26</f>
        <v>2205</v>
      </c>
      <c r="K26" s="10" t="n">
        <f aca="false">IF(H26=0,0,I26/H26)</f>
        <v>0</v>
      </c>
      <c r="L26" s="1"/>
    </row>
    <row r="27" customFormat="false" ht="30" hidden="false" customHeight="true" outlineLevel="3" collapsed="false">
      <c r="A27" s="1"/>
      <c r="B27" s="8" t="s">
        <v>80</v>
      </c>
      <c r="C27" s="43" t="n">
        <v>4</v>
      </c>
      <c r="D27" s="44" t="s">
        <v>81</v>
      </c>
      <c r="E27" s="43" t="s">
        <v>70</v>
      </c>
      <c r="F27" s="45" t="n">
        <v>93.0659</v>
      </c>
      <c r="G27" s="9" t="n">
        <v>15.41072</v>
      </c>
      <c r="H27" s="9" t="n">
        <v>1434.212526448</v>
      </c>
      <c r="I27" s="9" t="n">
        <f aca="false">SUMIF(Lançamentos!$F$7:$F$200,B27&amp;"*",Lançamentos!$O$7:$O$200)</f>
        <v>0</v>
      </c>
      <c r="J27" s="9" t="n">
        <f aca="false">H27-I27</f>
        <v>1434.212526448</v>
      </c>
      <c r="K27" s="10" t="n">
        <f aca="false">IF(H27=0,0,I27/H27)</f>
        <v>0</v>
      </c>
      <c r="L27" s="1"/>
    </row>
    <row r="28" customFormat="false" ht="21.75" hidden="false" customHeight="true" outlineLevel="1" collapsed="false">
      <c r="A28" s="1"/>
      <c r="B28" s="34" t="s">
        <v>82</v>
      </c>
      <c r="C28" s="35" t="n">
        <v>2</v>
      </c>
      <c r="D28" s="36" t="s">
        <v>83</v>
      </c>
      <c r="E28" s="35"/>
      <c r="F28" s="37"/>
      <c r="G28" s="38"/>
      <c r="H28" s="38" t="n">
        <f aca="false">SUMIFS($H$8:$H$98,$B$8:$B$98,B28&amp;"*",$C$8:$C$98,4)</f>
        <v>10849</v>
      </c>
      <c r="I28" s="38" t="n">
        <f aca="false">SUMIF(Lançamentos!$F$7:$F$200,B28&amp;"*",Lançamentos!$O$7:$O$200)</f>
        <v>0</v>
      </c>
      <c r="J28" s="38" t="n">
        <f aca="false">H28-I28</f>
        <v>10849</v>
      </c>
      <c r="K28" s="39" t="n">
        <f aca="false">IF(H28=0,0,I28/H28)</f>
        <v>0</v>
      </c>
      <c r="L28" s="1"/>
    </row>
    <row r="29" customFormat="false" ht="21.75" hidden="false" customHeight="true" outlineLevel="2" collapsed="false">
      <c r="A29" s="1"/>
      <c r="B29" s="11" t="s">
        <v>84</v>
      </c>
      <c r="C29" s="40" t="n">
        <v>3</v>
      </c>
      <c r="D29" s="41" t="s">
        <v>85</v>
      </c>
      <c r="E29" s="40"/>
      <c r="F29" s="42"/>
      <c r="G29" s="12"/>
      <c r="H29" s="12" t="n">
        <f aca="false">SUMIFS($H$8:$H$98,$B$8:$B$98,B29&amp;"*",$C$8:$C$98,4)</f>
        <v>10849</v>
      </c>
      <c r="I29" s="12" t="n">
        <f aca="false">SUMIF(Lançamentos!$F$7:$F$200,B29&amp;"*",Lançamentos!$O$7:$O$200)</f>
        <v>0</v>
      </c>
      <c r="J29" s="12" t="n">
        <f aca="false">H29-I29</f>
        <v>10849</v>
      </c>
      <c r="K29" s="13" t="n">
        <f aca="false">IF(H29=0,0,I29/H29)</f>
        <v>0</v>
      </c>
      <c r="L29" s="1"/>
    </row>
    <row r="30" customFormat="false" ht="30" hidden="false" customHeight="true" outlineLevel="3" collapsed="false">
      <c r="A30" s="1"/>
      <c r="B30" s="8" t="s">
        <v>86</v>
      </c>
      <c r="C30" s="43" t="n">
        <v>4</v>
      </c>
      <c r="D30" s="44" t="s">
        <v>87</v>
      </c>
      <c r="E30" s="43" t="s">
        <v>70</v>
      </c>
      <c r="F30" s="45" t="n">
        <v>39.6462</v>
      </c>
      <c r="G30" s="9" t="n">
        <v>160.141451135292</v>
      </c>
      <c r="H30" s="9" t="n">
        <v>6349</v>
      </c>
      <c r="I30" s="9" t="n">
        <f aca="false">SUMIF(Lançamentos!$F$7:$F$200,B30&amp;"*",Lançamentos!$O$7:$O$200)</f>
        <v>0</v>
      </c>
      <c r="J30" s="9" t="n">
        <f aca="false">H30-I30</f>
        <v>6349</v>
      </c>
      <c r="K30" s="10" t="n">
        <f aca="false">IF(H30=0,0,I30/H30)</f>
        <v>0</v>
      </c>
      <c r="L30" s="1"/>
    </row>
    <row r="31" customFormat="false" ht="30" hidden="false" customHeight="true" outlineLevel="3" collapsed="false">
      <c r="A31" s="1"/>
      <c r="B31" s="8" t="s">
        <v>88</v>
      </c>
      <c r="C31" s="43" t="n">
        <v>4</v>
      </c>
      <c r="D31" s="44" t="s">
        <v>89</v>
      </c>
      <c r="E31" s="43" t="s">
        <v>47</v>
      </c>
      <c r="F31" s="45" t="n">
        <v>1</v>
      </c>
      <c r="G31" s="9" t="n">
        <v>4500</v>
      </c>
      <c r="H31" s="9" t="n">
        <v>4500</v>
      </c>
      <c r="I31" s="9" t="n">
        <f aca="false">SUMIF(Lançamentos!$F$7:$F$200,B31&amp;"*",Lançamentos!$O$7:$O$200)</f>
        <v>0</v>
      </c>
      <c r="J31" s="9" t="n">
        <f aca="false">H31-I31</f>
        <v>4500</v>
      </c>
      <c r="K31" s="10" t="n">
        <f aca="false">IF(H31=0,0,I31/H31)</f>
        <v>0</v>
      </c>
      <c r="L31" s="1"/>
    </row>
    <row r="32" customFormat="false" ht="21.75" hidden="false" customHeight="true" outlineLevel="1" collapsed="false">
      <c r="A32" s="1"/>
      <c r="B32" s="34" t="s">
        <v>90</v>
      </c>
      <c r="C32" s="35" t="n">
        <v>2</v>
      </c>
      <c r="D32" s="36" t="s">
        <v>91</v>
      </c>
      <c r="E32" s="35"/>
      <c r="F32" s="37"/>
      <c r="G32" s="38"/>
      <c r="H32" s="38" t="n">
        <f aca="false">SUMIFS($H$8:$H$98,$B$8:$B$98,B32&amp;"*",$C$8:$C$98,4)</f>
        <v>3420</v>
      </c>
      <c r="I32" s="38" t="n">
        <f aca="false">SUMIF(Lançamentos!$F$7:$F$200,B32&amp;"*",Lançamentos!$O$7:$O$200)</f>
        <v>0</v>
      </c>
      <c r="J32" s="38" t="n">
        <f aca="false">H32-I32</f>
        <v>3420</v>
      </c>
      <c r="K32" s="39" t="n">
        <f aca="false">IF(H32=0,0,I32/H32)</f>
        <v>0</v>
      </c>
      <c r="L32" s="1"/>
    </row>
    <row r="33" customFormat="false" ht="21.75" hidden="false" customHeight="true" outlineLevel="2" collapsed="false">
      <c r="A33" s="1"/>
      <c r="B33" s="11" t="s">
        <v>92</v>
      </c>
      <c r="C33" s="40" t="n">
        <v>3</v>
      </c>
      <c r="D33" s="41" t="s">
        <v>91</v>
      </c>
      <c r="E33" s="40"/>
      <c r="F33" s="42"/>
      <c r="G33" s="12"/>
      <c r="H33" s="12" t="n">
        <f aca="false">SUMIFS($H$8:$H$98,$B$8:$B$98,B33&amp;"*",$C$8:$C$98,4)</f>
        <v>3420</v>
      </c>
      <c r="I33" s="12" t="n">
        <f aca="false">SUMIF(Lançamentos!$F$7:$F$200,B33&amp;"*",Lançamentos!$O$7:$O$200)</f>
        <v>0</v>
      </c>
      <c r="J33" s="12" t="n">
        <f aca="false">H33-I33</f>
        <v>3420</v>
      </c>
      <c r="K33" s="13" t="n">
        <f aca="false">IF(H33=0,0,I33/H33)</f>
        <v>0</v>
      </c>
      <c r="L33" s="1"/>
    </row>
    <row r="34" customFormat="false" ht="30" hidden="false" customHeight="true" outlineLevel="3" collapsed="false">
      <c r="A34" s="1"/>
      <c r="B34" s="8" t="s">
        <v>93</v>
      </c>
      <c r="C34" s="43" t="n">
        <v>4</v>
      </c>
      <c r="D34" s="44" t="s">
        <v>94</v>
      </c>
      <c r="E34" s="43" t="s">
        <v>70</v>
      </c>
      <c r="F34" s="45" t="n">
        <v>37.6582</v>
      </c>
      <c r="G34" s="9" t="n">
        <v>90.8168738813857</v>
      </c>
      <c r="H34" s="9" t="n">
        <v>3420</v>
      </c>
      <c r="I34" s="9" t="n">
        <f aca="false">SUMIF(Lançamentos!$F$7:$F$200,B34&amp;"*",Lançamentos!$O$7:$O$200)</f>
        <v>0</v>
      </c>
      <c r="J34" s="9" t="n">
        <f aca="false">H34-I34</f>
        <v>3420</v>
      </c>
      <c r="K34" s="10" t="n">
        <f aca="false">IF(H34=0,0,I34/H34)</f>
        <v>0</v>
      </c>
      <c r="L34" s="1"/>
    </row>
    <row r="35" customFormat="false" ht="21.75" hidden="false" customHeight="true" outlineLevel="1" collapsed="false">
      <c r="A35" s="1"/>
      <c r="B35" s="34" t="s">
        <v>95</v>
      </c>
      <c r="C35" s="35" t="n">
        <v>2</v>
      </c>
      <c r="D35" s="36" t="s">
        <v>96</v>
      </c>
      <c r="E35" s="35"/>
      <c r="F35" s="37"/>
      <c r="G35" s="38"/>
      <c r="H35" s="38" t="n">
        <f aca="false">SUMIFS($H$8:$H$98,$B$8:$B$98,B35&amp;"*",$C$8:$C$98,4)</f>
        <v>6470</v>
      </c>
      <c r="I35" s="38" t="n">
        <f aca="false">SUMIF(Lançamentos!$F$7:$F$200,B35&amp;"*",Lançamentos!$O$7:$O$200)</f>
        <v>0</v>
      </c>
      <c r="J35" s="38" t="n">
        <f aca="false">H35-I35</f>
        <v>6470</v>
      </c>
      <c r="K35" s="39" t="n">
        <f aca="false">IF(H35=0,0,I35/H35)</f>
        <v>0</v>
      </c>
      <c r="L35" s="1"/>
    </row>
    <row r="36" customFormat="false" ht="21.75" hidden="false" customHeight="true" outlineLevel="2" collapsed="false">
      <c r="A36" s="1"/>
      <c r="B36" s="11" t="s">
        <v>97</v>
      </c>
      <c r="C36" s="40" t="n">
        <v>3</v>
      </c>
      <c r="D36" s="41" t="s">
        <v>98</v>
      </c>
      <c r="E36" s="40"/>
      <c r="F36" s="42"/>
      <c r="G36" s="12"/>
      <c r="H36" s="12" t="n">
        <f aca="false">SUMIFS($H$8:$H$98,$B$8:$B$98,B36&amp;"*",$C$8:$C$98,4)</f>
        <v>720</v>
      </c>
      <c r="I36" s="12" t="n">
        <f aca="false">SUMIF(Lançamentos!$F$7:$F$200,B36&amp;"*",Lançamentos!$O$7:$O$200)</f>
        <v>0</v>
      </c>
      <c r="J36" s="12" t="n">
        <f aca="false">H36-I36</f>
        <v>720</v>
      </c>
      <c r="K36" s="13" t="n">
        <f aca="false">IF(H36=0,0,I36/H36)</f>
        <v>0</v>
      </c>
      <c r="L36" s="1"/>
    </row>
    <row r="37" customFormat="false" ht="30" hidden="false" customHeight="true" outlineLevel="3" collapsed="false">
      <c r="A37" s="1"/>
      <c r="B37" s="8" t="s">
        <v>99</v>
      </c>
      <c r="C37" s="43" t="n">
        <v>4</v>
      </c>
      <c r="D37" s="44" t="s">
        <v>100</v>
      </c>
      <c r="E37" s="43" t="s">
        <v>70</v>
      </c>
      <c r="F37" s="45" t="n">
        <v>0.9</v>
      </c>
      <c r="G37" s="9" t="n">
        <v>800</v>
      </c>
      <c r="H37" s="9" t="n">
        <v>720</v>
      </c>
      <c r="I37" s="9" t="n">
        <f aca="false">SUMIF(Lançamentos!$F$7:$F$200,B37&amp;"*",Lançamentos!$O$7:$O$200)</f>
        <v>0</v>
      </c>
      <c r="J37" s="9" t="n">
        <f aca="false">H37-I37</f>
        <v>720</v>
      </c>
      <c r="K37" s="10" t="n">
        <f aca="false">IF(H37=0,0,I37/H37)</f>
        <v>0</v>
      </c>
      <c r="L37" s="1"/>
    </row>
    <row r="38" customFormat="false" ht="21.75" hidden="false" customHeight="true" outlineLevel="2" collapsed="false">
      <c r="A38" s="1"/>
      <c r="B38" s="11" t="s">
        <v>101</v>
      </c>
      <c r="C38" s="40" t="n">
        <v>3</v>
      </c>
      <c r="D38" s="41" t="s">
        <v>102</v>
      </c>
      <c r="E38" s="40"/>
      <c r="F38" s="42"/>
      <c r="G38" s="12"/>
      <c r="H38" s="12" t="n">
        <f aca="false">SUMIFS($H$8:$H$98,$B$8:$B$98,B38&amp;"*",$C$8:$C$98,4)</f>
        <v>5750</v>
      </c>
      <c r="I38" s="12" t="n">
        <f aca="false">SUMIF(Lançamentos!$F$7:$F$200,B38&amp;"*",Lançamentos!$O$7:$O$200)</f>
        <v>0</v>
      </c>
      <c r="J38" s="12" t="n">
        <f aca="false">H38-I38</f>
        <v>5750</v>
      </c>
      <c r="K38" s="13" t="n">
        <f aca="false">IF(H38=0,0,I38/H38)</f>
        <v>0</v>
      </c>
      <c r="L38" s="1"/>
    </row>
    <row r="39" customFormat="false" ht="30" hidden="false" customHeight="true" outlineLevel="3" collapsed="false">
      <c r="A39" s="1"/>
      <c r="B39" s="8" t="s">
        <v>103</v>
      </c>
      <c r="C39" s="43" t="n">
        <v>4</v>
      </c>
      <c r="D39" s="44" t="s">
        <v>104</v>
      </c>
      <c r="E39" s="43" t="s">
        <v>105</v>
      </c>
      <c r="F39" s="45" t="n">
        <v>3</v>
      </c>
      <c r="G39" s="9" t="n">
        <v>1150</v>
      </c>
      <c r="H39" s="9" t="n">
        <v>3450</v>
      </c>
      <c r="I39" s="9" t="n">
        <f aca="false">SUMIF(Lançamentos!$F$7:$F$200,B39&amp;"*",Lançamentos!$O$7:$O$200)</f>
        <v>0</v>
      </c>
      <c r="J39" s="9" t="n">
        <f aca="false">H39-I39</f>
        <v>3450</v>
      </c>
      <c r="K39" s="10" t="n">
        <f aca="false">IF(H39=0,0,I39/H39)</f>
        <v>0</v>
      </c>
      <c r="L39" s="1"/>
    </row>
    <row r="40" customFormat="false" ht="30" hidden="false" customHeight="true" outlineLevel="3" collapsed="false">
      <c r="A40" s="1"/>
      <c r="B40" s="8" t="s">
        <v>106</v>
      </c>
      <c r="C40" s="43" t="n">
        <v>4</v>
      </c>
      <c r="D40" s="44" t="s">
        <v>107</v>
      </c>
      <c r="E40" s="43" t="s">
        <v>105</v>
      </c>
      <c r="F40" s="45" t="n">
        <v>2</v>
      </c>
      <c r="G40" s="9" t="n">
        <v>1150</v>
      </c>
      <c r="H40" s="9" t="n">
        <v>2300</v>
      </c>
      <c r="I40" s="9" t="n">
        <f aca="false">SUMIF(Lançamentos!$F$7:$F$200,B40&amp;"*",Lançamentos!$O$7:$O$200)</f>
        <v>0</v>
      </c>
      <c r="J40" s="9" t="n">
        <f aca="false">H40-I40</f>
        <v>2300</v>
      </c>
      <c r="K40" s="10" t="n">
        <f aca="false">IF(H40=0,0,I40/H40)</f>
        <v>0</v>
      </c>
      <c r="L40" s="1"/>
    </row>
    <row r="41" customFormat="false" ht="21.75" hidden="false" customHeight="true" outlineLevel="1" collapsed="false">
      <c r="A41" s="1"/>
      <c r="B41" s="34" t="s">
        <v>108</v>
      </c>
      <c r="C41" s="35" t="n">
        <v>2</v>
      </c>
      <c r="D41" s="36" t="s">
        <v>109</v>
      </c>
      <c r="E41" s="35"/>
      <c r="F41" s="37"/>
      <c r="G41" s="38"/>
      <c r="H41" s="38" t="n">
        <f aca="false">SUMIFS($H$8:$H$98,$B$8:$B$98,B41&amp;"*",$C$8:$C$98,4)</f>
        <v>24342.7362335651</v>
      </c>
      <c r="I41" s="38" t="n">
        <f aca="false">SUMIF(Lançamentos!$F$7:$F$200,B41&amp;"*",Lançamentos!$O$7:$O$200)</f>
        <v>2660.36</v>
      </c>
      <c r="J41" s="38" t="n">
        <f aca="false">H41-I41</f>
        <v>21682.3762335651</v>
      </c>
      <c r="K41" s="39" t="n">
        <f aca="false">IF(H41=0,0,I41/H41)</f>
        <v>0.109287632026007</v>
      </c>
      <c r="L41" s="1"/>
    </row>
    <row r="42" customFormat="false" ht="21.75" hidden="false" customHeight="true" outlineLevel="2" collapsed="false">
      <c r="A42" s="1"/>
      <c r="B42" s="11" t="s">
        <v>110</v>
      </c>
      <c r="C42" s="40" t="n">
        <v>3</v>
      </c>
      <c r="D42" s="41" t="s">
        <v>111</v>
      </c>
      <c r="E42" s="40"/>
      <c r="F42" s="42"/>
      <c r="G42" s="12"/>
      <c r="H42" s="12" t="n">
        <f aca="false">SUMIFS($H$8:$H$98,$B$8:$B$98,B42&amp;"*",$C$8:$C$98,4)</f>
        <v>14550.9198715195</v>
      </c>
      <c r="I42" s="12" t="n">
        <f aca="false">SUMIF(Lançamentos!$F$7:$F$200,B42&amp;"*",Lançamentos!$O$7:$O$200)</f>
        <v>2660.36</v>
      </c>
      <c r="J42" s="12" t="n">
        <f aca="false">H42-I42</f>
        <v>11890.5598715195</v>
      </c>
      <c r="K42" s="13" t="n">
        <f aca="false">IF(H42=0,0,I42/H42)</f>
        <v>0.182831052846845</v>
      </c>
      <c r="L42" s="1"/>
    </row>
    <row r="43" customFormat="false" ht="30" hidden="false" customHeight="true" outlineLevel="3" collapsed="false">
      <c r="A43" s="1"/>
      <c r="B43" s="8" t="s">
        <v>112</v>
      </c>
      <c r="C43" s="43" t="n">
        <v>4</v>
      </c>
      <c r="D43" s="44" t="s">
        <v>113</v>
      </c>
      <c r="E43" s="43" t="s">
        <v>70</v>
      </c>
      <c r="F43" s="45" t="n">
        <v>39.4259</v>
      </c>
      <c r="G43" s="9" t="n">
        <v>121.81332</v>
      </c>
      <c r="H43" s="9" t="n">
        <v>4802.599772988</v>
      </c>
      <c r="I43" s="9" t="n">
        <f aca="false">SUMIF(Lançamentos!$F$7:$F$200,B43&amp;"*",Lançamentos!$O$7:$O$200)</f>
        <v>0</v>
      </c>
      <c r="J43" s="9" t="n">
        <f aca="false">H43-I43</f>
        <v>4802.599772988</v>
      </c>
      <c r="K43" s="10" t="n">
        <f aca="false">IF(H43=0,0,I43/H43)</f>
        <v>0</v>
      </c>
      <c r="L43" s="1"/>
    </row>
    <row r="44" customFormat="false" ht="30" hidden="false" customHeight="true" outlineLevel="3" collapsed="false">
      <c r="A44" s="1"/>
      <c r="B44" s="8" t="s">
        <v>114</v>
      </c>
      <c r="C44" s="43" t="n">
        <v>4</v>
      </c>
      <c r="D44" s="44" t="s">
        <v>115</v>
      </c>
      <c r="E44" s="43" t="s">
        <v>70</v>
      </c>
      <c r="F44" s="45" t="n">
        <v>39.4259</v>
      </c>
      <c r="G44" s="9" t="n">
        <v>241.5</v>
      </c>
      <c r="H44" s="9" t="n">
        <v>9521.35485</v>
      </c>
      <c r="I44" s="9" t="n">
        <f aca="false">SUMIF(Lançamentos!$F$7:$F$200,B44&amp;"*",Lançamentos!$O$7:$O$200)</f>
        <v>2660.36</v>
      </c>
      <c r="J44" s="9" t="n">
        <f aca="false">H44-I44</f>
        <v>6860.99485</v>
      </c>
      <c r="K44" s="10" t="n">
        <f aca="false">IF(H44=0,0,I44/H44)</f>
        <v>0.279409815295352</v>
      </c>
      <c r="L44" s="1"/>
    </row>
    <row r="45" customFormat="false" ht="30" hidden="false" customHeight="true" outlineLevel="3" collapsed="false">
      <c r="A45" s="1"/>
      <c r="B45" s="8" t="s">
        <v>116</v>
      </c>
      <c r="C45" s="43" t="n">
        <v>4</v>
      </c>
      <c r="D45" s="44" t="s">
        <v>117</v>
      </c>
      <c r="E45" s="43" t="s">
        <v>70</v>
      </c>
      <c r="F45" s="45" t="n">
        <v>39.4259</v>
      </c>
      <c r="G45" s="9" t="n">
        <v>5.75675504</v>
      </c>
      <c r="H45" s="9" t="n">
        <v>226.965248531536</v>
      </c>
      <c r="I45" s="9" t="n">
        <f aca="false">SUMIF(Lançamentos!$F$7:$F$200,B45&amp;"*",Lançamentos!$O$7:$O$200)</f>
        <v>0</v>
      </c>
      <c r="J45" s="9" t="n">
        <f aca="false">H45-I45</f>
        <v>226.965248531536</v>
      </c>
      <c r="K45" s="10" t="n">
        <f aca="false">IF(H45=0,0,I45/H45)</f>
        <v>0</v>
      </c>
      <c r="L45" s="1"/>
    </row>
    <row r="46" customFormat="false" ht="21.75" hidden="false" customHeight="true" outlineLevel="2" collapsed="false">
      <c r="A46" s="1"/>
      <c r="B46" s="11" t="s">
        <v>118</v>
      </c>
      <c r="C46" s="40" t="n">
        <v>3</v>
      </c>
      <c r="D46" s="41" t="s">
        <v>119</v>
      </c>
      <c r="E46" s="40"/>
      <c r="F46" s="42"/>
      <c r="G46" s="12"/>
      <c r="H46" s="12" t="n">
        <f aca="false">SUMIFS($H$8:$H$98,$B$8:$B$98,B46&amp;"*",$C$8:$C$98,4)</f>
        <v>9791.81636204555</v>
      </c>
      <c r="I46" s="12" t="n">
        <f aca="false">SUMIF(Lançamentos!$F$7:$F$200,B46&amp;"*",Lançamentos!$O$7:$O$200)</f>
        <v>0</v>
      </c>
      <c r="J46" s="12" t="n">
        <f aca="false">H46-I46</f>
        <v>9791.81636204555</v>
      </c>
      <c r="K46" s="13" t="n">
        <f aca="false">IF(H46=0,0,I46/H46)</f>
        <v>0</v>
      </c>
      <c r="L46" s="1"/>
    </row>
    <row r="47" customFormat="false" ht="30" hidden="false" customHeight="true" outlineLevel="3" collapsed="false">
      <c r="A47" s="1"/>
      <c r="B47" s="8" t="s">
        <v>120</v>
      </c>
      <c r="C47" s="43" t="n">
        <v>4</v>
      </c>
      <c r="D47" s="44" t="s">
        <v>121</v>
      </c>
      <c r="E47" s="43" t="s">
        <v>70</v>
      </c>
      <c r="F47" s="45" t="n">
        <v>24.342766</v>
      </c>
      <c r="G47" s="9" t="n">
        <v>166.15835</v>
      </c>
      <c r="H47" s="9" t="n">
        <v>4044.7538329961</v>
      </c>
      <c r="I47" s="9" t="n">
        <f aca="false">SUMIF(Lançamentos!$F$7:$F$200,B47&amp;"*",Lançamentos!$O$7:$O$200)</f>
        <v>0</v>
      </c>
      <c r="J47" s="9" t="n">
        <f aca="false">H47-I47</f>
        <v>4044.7538329961</v>
      </c>
      <c r="K47" s="10" t="n">
        <f aca="false">IF(H47=0,0,I47/H47)</f>
        <v>0</v>
      </c>
      <c r="L47" s="1"/>
    </row>
    <row r="48" customFormat="false" ht="30" hidden="false" customHeight="true" outlineLevel="3" collapsed="false">
      <c r="A48" s="1"/>
      <c r="B48" s="8" t="s">
        <v>122</v>
      </c>
      <c r="C48" s="43" t="n">
        <v>4</v>
      </c>
      <c r="D48" s="44" t="s">
        <v>123</v>
      </c>
      <c r="E48" s="43" t="s">
        <v>70</v>
      </c>
      <c r="F48" s="45" t="n">
        <v>6.45</v>
      </c>
      <c r="G48" s="9" t="n">
        <v>121.81332</v>
      </c>
      <c r="H48" s="9" t="n">
        <v>785.695914</v>
      </c>
      <c r="I48" s="9" t="n">
        <f aca="false">SUMIF(Lançamentos!$F$7:$F$200,B48&amp;"*",Lançamentos!$O$7:$O$200)</f>
        <v>0</v>
      </c>
      <c r="J48" s="9" t="n">
        <f aca="false">H48-I48</f>
        <v>785.695914</v>
      </c>
      <c r="K48" s="10" t="n">
        <f aca="false">IF(H48=0,0,I48/H48)</f>
        <v>0</v>
      </c>
      <c r="L48" s="1"/>
    </row>
    <row r="49" customFormat="false" ht="30" hidden="false" customHeight="true" outlineLevel="3" collapsed="false">
      <c r="A49" s="1"/>
      <c r="B49" s="8" t="s">
        <v>124</v>
      </c>
      <c r="C49" s="43" t="n">
        <v>4</v>
      </c>
      <c r="D49" s="44" t="s">
        <v>115</v>
      </c>
      <c r="E49" s="43" t="s">
        <v>70</v>
      </c>
      <c r="F49" s="45" t="n">
        <v>7.4175</v>
      </c>
      <c r="G49" s="9" t="n">
        <v>241.5</v>
      </c>
      <c r="H49" s="9" t="n">
        <v>1791.32625</v>
      </c>
      <c r="I49" s="9" t="n">
        <f aca="false">SUMIF(Lançamentos!$F$7:$F$200,B49&amp;"*",Lançamentos!$O$7:$O$200)</f>
        <v>0</v>
      </c>
      <c r="J49" s="9" t="n">
        <f aca="false">H49-I49</f>
        <v>1791.32625</v>
      </c>
      <c r="K49" s="10" t="n">
        <f aca="false">IF(H49=0,0,I49/H49)</f>
        <v>0</v>
      </c>
      <c r="L49" s="1"/>
    </row>
    <row r="50" customFormat="false" ht="30" hidden="false" customHeight="true" outlineLevel="3" collapsed="false">
      <c r="A50" s="1"/>
      <c r="B50" s="8" t="s">
        <v>125</v>
      </c>
      <c r="C50" s="43" t="n">
        <v>4</v>
      </c>
      <c r="D50" s="44" t="s">
        <v>117</v>
      </c>
      <c r="E50" s="43" t="s">
        <v>70</v>
      </c>
      <c r="F50" s="45" t="n">
        <v>4.975</v>
      </c>
      <c r="G50" s="9" t="n">
        <v>5.75675504</v>
      </c>
      <c r="H50" s="9" t="n">
        <v>28.639856324</v>
      </c>
      <c r="I50" s="9" t="n">
        <f aca="false">SUMIF(Lançamentos!$F$7:$F$200,B50&amp;"*",Lançamentos!$O$7:$O$200)</f>
        <v>0</v>
      </c>
      <c r="J50" s="9" t="n">
        <f aca="false">H50-I50</f>
        <v>28.639856324</v>
      </c>
      <c r="K50" s="10" t="n">
        <f aca="false">IF(H50=0,0,I50/H50)</f>
        <v>0</v>
      </c>
      <c r="L50" s="1"/>
    </row>
    <row r="51" customFormat="false" ht="30" hidden="false" customHeight="true" outlineLevel="3" collapsed="false">
      <c r="A51" s="1"/>
      <c r="B51" s="8" t="s">
        <v>126</v>
      </c>
      <c r="C51" s="43" t="n">
        <v>4</v>
      </c>
      <c r="D51" s="44" t="s">
        <v>127</v>
      </c>
      <c r="E51" s="43" t="s">
        <v>128</v>
      </c>
      <c r="F51" s="45" t="n">
        <v>41.08</v>
      </c>
      <c r="G51" s="9" t="n">
        <v>65.33324444</v>
      </c>
      <c r="H51" s="9" t="n">
        <v>2683.8896815952</v>
      </c>
      <c r="I51" s="9" t="n">
        <f aca="false">SUMIF(Lançamentos!$F$7:$F$200,B51&amp;"*",Lançamentos!$O$7:$O$200)</f>
        <v>0</v>
      </c>
      <c r="J51" s="9" t="n">
        <f aca="false">H51-I51</f>
        <v>2683.8896815952</v>
      </c>
      <c r="K51" s="10" t="n">
        <f aca="false">IF(H51=0,0,I51/H51)</f>
        <v>0</v>
      </c>
      <c r="L51" s="1"/>
    </row>
    <row r="52" customFormat="false" ht="30" hidden="false" customHeight="true" outlineLevel="3" collapsed="false">
      <c r="A52" s="1"/>
      <c r="B52" s="8" t="s">
        <v>129</v>
      </c>
      <c r="C52" s="43" t="n">
        <v>4</v>
      </c>
      <c r="D52" s="44" t="s">
        <v>130</v>
      </c>
      <c r="E52" s="43" t="s">
        <v>128</v>
      </c>
      <c r="F52" s="45" t="n">
        <v>9.98</v>
      </c>
      <c r="G52" s="9" t="n">
        <v>45.8427682495238</v>
      </c>
      <c r="H52" s="9" t="n">
        <v>457.510827130248</v>
      </c>
      <c r="I52" s="9" t="n">
        <f aca="false">SUMIF(Lançamentos!$F$7:$F$200,B52&amp;"*",Lançamentos!$O$7:$O$200)</f>
        <v>0</v>
      </c>
      <c r="J52" s="9" t="n">
        <f aca="false">H52-I52</f>
        <v>457.510827130248</v>
      </c>
      <c r="K52" s="10" t="n">
        <f aca="false">IF(H52=0,0,I52/H52)</f>
        <v>0</v>
      </c>
      <c r="L52" s="1"/>
    </row>
    <row r="53" customFormat="false" ht="21.75" hidden="false" customHeight="true" outlineLevel="1" collapsed="false">
      <c r="A53" s="1"/>
      <c r="B53" s="34" t="s">
        <v>131</v>
      </c>
      <c r="C53" s="35" t="n">
        <v>2</v>
      </c>
      <c r="D53" s="36" t="s">
        <v>132</v>
      </c>
      <c r="E53" s="35"/>
      <c r="F53" s="37"/>
      <c r="G53" s="38"/>
      <c r="H53" s="38" t="n">
        <f aca="false">SUMIFS($H$8:$H$98,$B$8:$B$98,B53&amp;"*",$C$8:$C$98,4)</f>
        <v>18185.803546704</v>
      </c>
      <c r="I53" s="38" t="n">
        <f aca="false">SUMIF(Lançamentos!$F$7:$F$200,B53&amp;"*",Lançamentos!$O$7:$O$200)</f>
        <v>0</v>
      </c>
      <c r="J53" s="38" t="n">
        <f aca="false">H53-I53</f>
        <v>18185.803546704</v>
      </c>
      <c r="K53" s="39" t="n">
        <f aca="false">IF(H53=0,0,I53/H53)</f>
        <v>0</v>
      </c>
      <c r="L53" s="1"/>
    </row>
    <row r="54" customFormat="false" ht="21.75" hidden="false" customHeight="true" outlineLevel="2" collapsed="false">
      <c r="A54" s="1"/>
      <c r="B54" s="11" t="s">
        <v>133</v>
      </c>
      <c r="C54" s="40" t="n">
        <v>3</v>
      </c>
      <c r="D54" s="41" t="s">
        <v>134</v>
      </c>
      <c r="E54" s="40"/>
      <c r="F54" s="42"/>
      <c r="G54" s="12"/>
      <c r="H54" s="12" t="n">
        <f aca="false">SUMIFS($H$8:$H$98,$B$8:$B$98,B54&amp;"*",$C$8:$C$98,4)</f>
        <v>13865.792837204</v>
      </c>
      <c r="I54" s="12" t="n">
        <f aca="false">SUMIF(Lançamentos!$F$7:$F$200,B54&amp;"*",Lançamentos!$O$7:$O$200)</f>
        <v>0</v>
      </c>
      <c r="J54" s="12" t="n">
        <f aca="false">H54-I54</f>
        <v>13865.792837204</v>
      </c>
      <c r="K54" s="13" t="n">
        <f aca="false">IF(H54=0,0,I54/H54)</f>
        <v>0</v>
      </c>
      <c r="L54" s="1"/>
    </row>
    <row r="55" customFormat="false" ht="30" hidden="false" customHeight="true" outlineLevel="3" collapsed="false">
      <c r="A55" s="1"/>
      <c r="B55" s="8" t="s">
        <v>135</v>
      </c>
      <c r="C55" s="43" t="n">
        <v>4</v>
      </c>
      <c r="D55" s="44" t="s">
        <v>136</v>
      </c>
      <c r="E55" s="43" t="s">
        <v>70</v>
      </c>
      <c r="F55" s="45" t="n">
        <v>66.552366</v>
      </c>
      <c r="G55" s="9" t="n">
        <v>128.519</v>
      </c>
      <c r="H55" s="9" t="n">
        <v>8553.243525954</v>
      </c>
      <c r="I55" s="9" t="n">
        <f aca="false">SUMIF(Lançamentos!$F$7:$F$200,B55&amp;"*",Lançamentos!$O$7:$O$200)</f>
        <v>0</v>
      </c>
      <c r="J55" s="9" t="n">
        <f aca="false">H55-I55</f>
        <v>8553.243525954</v>
      </c>
      <c r="K55" s="10" t="n">
        <f aca="false">IF(H55=0,0,I55/H55)</f>
        <v>0</v>
      </c>
      <c r="L55" s="1"/>
    </row>
    <row r="56" customFormat="false" ht="30" hidden="false" customHeight="true" outlineLevel="3" collapsed="false">
      <c r="A56" s="1"/>
      <c r="B56" s="8" t="s">
        <v>137</v>
      </c>
      <c r="C56" s="43" t="n">
        <v>4</v>
      </c>
      <c r="D56" s="44" t="s">
        <v>138</v>
      </c>
      <c r="E56" s="43" t="s">
        <v>70</v>
      </c>
      <c r="F56" s="45" t="n">
        <v>71.46015</v>
      </c>
      <c r="G56" s="9" t="n">
        <v>64.975</v>
      </c>
      <c r="H56" s="9" t="n">
        <v>4643.12324625</v>
      </c>
      <c r="I56" s="9" t="n">
        <f aca="false">SUMIF(Lançamentos!$F$7:$F$200,B56&amp;"*",Lançamentos!$O$7:$O$200)</f>
        <v>0</v>
      </c>
      <c r="J56" s="9" t="n">
        <f aca="false">H56-I56</f>
        <v>4643.12324625</v>
      </c>
      <c r="K56" s="10" t="n">
        <f aca="false">IF(H56=0,0,I56/H56)</f>
        <v>0</v>
      </c>
      <c r="L56" s="1"/>
    </row>
    <row r="57" customFormat="false" ht="30" hidden="false" customHeight="true" outlineLevel="3" collapsed="false">
      <c r="A57" s="1"/>
      <c r="B57" s="8" t="s">
        <v>139</v>
      </c>
      <c r="C57" s="43" t="n">
        <v>4</v>
      </c>
      <c r="D57" s="44" t="s">
        <v>140</v>
      </c>
      <c r="E57" s="43" t="s">
        <v>70</v>
      </c>
      <c r="F57" s="45" t="n">
        <v>24.342766</v>
      </c>
      <c r="G57" s="9" t="n">
        <v>27.5</v>
      </c>
      <c r="H57" s="9" t="n">
        <v>669.426065</v>
      </c>
      <c r="I57" s="9" t="n">
        <f aca="false">SUMIF(Lançamentos!$F$7:$F$200,B57&amp;"*",Lançamentos!$O$7:$O$200)</f>
        <v>0</v>
      </c>
      <c r="J57" s="9" t="n">
        <f aca="false">H57-I57</f>
        <v>669.426065</v>
      </c>
      <c r="K57" s="10" t="n">
        <f aca="false">IF(H57=0,0,I57/H57)</f>
        <v>0</v>
      </c>
      <c r="L57" s="1"/>
    </row>
    <row r="58" customFormat="false" ht="21.75" hidden="false" customHeight="true" outlineLevel="2" collapsed="false">
      <c r="A58" s="1"/>
      <c r="B58" s="11" t="s">
        <v>141</v>
      </c>
      <c r="C58" s="40" t="n">
        <v>3</v>
      </c>
      <c r="D58" s="41" t="s">
        <v>142</v>
      </c>
      <c r="E58" s="40"/>
      <c r="F58" s="42"/>
      <c r="G58" s="12"/>
      <c r="H58" s="12" t="n">
        <f aca="false">SUMIFS($H$8:$H$98,$B$8:$B$98,B58&amp;"*",$C$8:$C$98,4)</f>
        <v>4320.0107095</v>
      </c>
      <c r="I58" s="12" t="n">
        <f aca="false">SUMIF(Lançamentos!$F$7:$F$200,B58&amp;"*",Lançamentos!$O$7:$O$200)</f>
        <v>0</v>
      </c>
      <c r="J58" s="12" t="n">
        <f aca="false">H58-I58</f>
        <v>4320.0107095</v>
      </c>
      <c r="K58" s="13" t="n">
        <f aca="false">IF(H58=0,0,I58/H58)</f>
        <v>0</v>
      </c>
      <c r="L58" s="1"/>
    </row>
    <row r="59" customFormat="false" ht="30" hidden="false" customHeight="true" outlineLevel="3" collapsed="false">
      <c r="A59" s="1"/>
      <c r="B59" s="8" t="s">
        <v>143</v>
      </c>
      <c r="C59" s="43" t="n">
        <v>4</v>
      </c>
      <c r="D59" s="44" t="s">
        <v>136</v>
      </c>
      <c r="E59" s="43" t="s">
        <v>70</v>
      </c>
      <c r="F59" s="45" t="n">
        <v>26.9855</v>
      </c>
      <c r="G59" s="9" t="n">
        <v>128.519</v>
      </c>
      <c r="H59" s="9" t="n">
        <v>3468.1494745</v>
      </c>
      <c r="I59" s="9" t="n">
        <f aca="false">SUMIF(Lançamentos!$F$7:$F$200,B59&amp;"*",Lançamentos!$O$7:$O$200)</f>
        <v>0</v>
      </c>
      <c r="J59" s="9" t="n">
        <f aca="false">H59-I59</f>
        <v>3468.1494745</v>
      </c>
      <c r="K59" s="10" t="n">
        <f aca="false">IF(H59=0,0,I59/H59)</f>
        <v>0</v>
      </c>
      <c r="L59" s="1"/>
    </row>
    <row r="60" customFormat="false" ht="30" hidden="false" customHeight="true" outlineLevel="3" collapsed="false">
      <c r="A60" s="1"/>
      <c r="B60" s="8" t="s">
        <v>144</v>
      </c>
      <c r="C60" s="43" t="n">
        <v>4</v>
      </c>
      <c r="D60" s="44" t="s">
        <v>145</v>
      </c>
      <c r="E60" s="43" t="s">
        <v>70</v>
      </c>
      <c r="F60" s="45" t="n">
        <v>13.1106</v>
      </c>
      <c r="G60" s="9" t="n">
        <v>64.975</v>
      </c>
      <c r="H60" s="9" t="n">
        <v>851.861235</v>
      </c>
      <c r="I60" s="9" t="n">
        <f aca="false">SUMIF(Lançamentos!$F$7:$F$200,B60&amp;"*",Lançamentos!$O$7:$O$200)</f>
        <v>0</v>
      </c>
      <c r="J60" s="9" t="n">
        <f aca="false">H60-I60</f>
        <v>851.861235</v>
      </c>
      <c r="K60" s="10" t="n">
        <f aca="false">IF(H60=0,0,I60/H60)</f>
        <v>0</v>
      </c>
      <c r="L60" s="1"/>
    </row>
    <row r="61" customFormat="false" ht="21.75" hidden="false" customHeight="true" outlineLevel="1" collapsed="false">
      <c r="A61" s="1"/>
      <c r="B61" s="34" t="s">
        <v>146</v>
      </c>
      <c r="C61" s="35" t="n">
        <v>2</v>
      </c>
      <c r="D61" s="36" t="s">
        <v>147</v>
      </c>
      <c r="E61" s="35"/>
      <c r="F61" s="37"/>
      <c r="G61" s="38"/>
      <c r="H61" s="38" t="n">
        <f aca="false">SUMIFS($H$8:$H$98,$B$8:$B$98,B61&amp;"*",$C$8:$C$98,4)</f>
        <v>12515.07727775</v>
      </c>
      <c r="I61" s="38" t="n">
        <f aca="false">SUMIF(Lançamentos!$F$7:$F$200,B61&amp;"*",Lançamentos!$O$7:$O$200)</f>
        <v>0</v>
      </c>
      <c r="J61" s="38" t="n">
        <f aca="false">H61-I61</f>
        <v>12515.07727775</v>
      </c>
      <c r="K61" s="39" t="n">
        <f aca="false">IF(H61=0,0,I61/H61)</f>
        <v>0</v>
      </c>
      <c r="L61" s="1"/>
    </row>
    <row r="62" customFormat="false" ht="21.75" hidden="false" customHeight="true" outlineLevel="2" collapsed="false">
      <c r="A62" s="1"/>
      <c r="B62" s="11" t="s">
        <v>148</v>
      </c>
      <c r="C62" s="40" t="n">
        <v>3</v>
      </c>
      <c r="D62" s="41" t="s">
        <v>149</v>
      </c>
      <c r="E62" s="40"/>
      <c r="F62" s="42"/>
      <c r="G62" s="12"/>
      <c r="H62" s="12" t="n">
        <f aca="false">SUMIFS($H$8:$H$98,$B$8:$B$98,B62&amp;"*",$C$8:$C$98,4)</f>
        <v>10136.31</v>
      </c>
      <c r="I62" s="12" t="n">
        <f aca="false">SUMIF(Lançamentos!$F$7:$F$200,B62&amp;"*",Lançamentos!$O$7:$O$200)</f>
        <v>0</v>
      </c>
      <c r="J62" s="12" t="n">
        <f aca="false">H62-I62</f>
        <v>10136.31</v>
      </c>
      <c r="K62" s="13" t="n">
        <f aca="false">IF(H62=0,0,I62/H62)</f>
        <v>0</v>
      </c>
      <c r="L62" s="1"/>
    </row>
    <row r="63" customFormat="false" ht="30" hidden="false" customHeight="true" outlineLevel="3" collapsed="false">
      <c r="A63" s="1"/>
      <c r="B63" s="8" t="s">
        <v>150</v>
      </c>
      <c r="C63" s="43" t="n">
        <v>4</v>
      </c>
      <c r="D63" s="44" t="s">
        <v>151</v>
      </c>
      <c r="E63" s="43" t="s">
        <v>70</v>
      </c>
      <c r="F63" s="45" t="n">
        <v>2.749</v>
      </c>
      <c r="G63" s="9" t="n">
        <v>1559.87995634776</v>
      </c>
      <c r="H63" s="9" t="n">
        <v>4288.11</v>
      </c>
      <c r="I63" s="9" t="n">
        <f aca="false">SUMIF(Lançamentos!$F$7:$F$200,B63&amp;"*",Lançamentos!$O$7:$O$200)</f>
        <v>0</v>
      </c>
      <c r="J63" s="9" t="n">
        <f aca="false">H63-I63</f>
        <v>4288.11</v>
      </c>
      <c r="K63" s="10" t="n">
        <f aca="false">IF(H63=0,0,I63/H63)</f>
        <v>0</v>
      </c>
      <c r="L63" s="1"/>
    </row>
    <row r="64" customFormat="false" ht="30" hidden="false" customHeight="true" outlineLevel="3" collapsed="false">
      <c r="A64" s="1"/>
      <c r="B64" s="8" t="s">
        <v>152</v>
      </c>
      <c r="C64" s="43" t="n">
        <v>4</v>
      </c>
      <c r="D64" s="44" t="s">
        <v>153</v>
      </c>
      <c r="E64" s="43" t="s">
        <v>70</v>
      </c>
      <c r="F64" s="45" t="n">
        <v>2.1</v>
      </c>
      <c r="G64" s="9" t="n">
        <v>2784.85714285714</v>
      </c>
      <c r="H64" s="9" t="n">
        <v>5848.2</v>
      </c>
      <c r="I64" s="9" t="n">
        <f aca="false">SUMIF(Lançamentos!$F$7:$F$200,B64&amp;"*",Lançamentos!$O$7:$O$200)</f>
        <v>0</v>
      </c>
      <c r="J64" s="9" t="n">
        <f aca="false">H64-I64</f>
        <v>5848.2</v>
      </c>
      <c r="K64" s="10" t="n">
        <f aca="false">IF(H64=0,0,I64/H64)</f>
        <v>0</v>
      </c>
      <c r="L64" s="1"/>
    </row>
    <row r="65" customFormat="false" ht="21.75" hidden="false" customHeight="true" outlineLevel="2" collapsed="false">
      <c r="A65" s="1"/>
      <c r="B65" s="11" t="s">
        <v>154</v>
      </c>
      <c r="C65" s="40" t="n">
        <v>3</v>
      </c>
      <c r="D65" s="41" t="s">
        <v>155</v>
      </c>
      <c r="E65" s="40"/>
      <c r="F65" s="42"/>
      <c r="G65" s="12"/>
      <c r="H65" s="12" t="n">
        <f aca="false">SUMIFS($H$8:$H$98,$B$8:$B$98,B65&amp;"*",$C$8:$C$98,4)</f>
        <v>930.6922</v>
      </c>
      <c r="I65" s="12" t="n">
        <f aca="false">SUMIF(Lançamentos!$F$7:$F$200,B65&amp;"*",Lançamentos!$O$7:$O$200)</f>
        <v>0</v>
      </c>
      <c r="J65" s="12" t="n">
        <f aca="false">H65-I65</f>
        <v>930.6922</v>
      </c>
      <c r="K65" s="13" t="n">
        <f aca="false">IF(H65=0,0,I65/H65)</f>
        <v>0</v>
      </c>
      <c r="L65" s="1"/>
    </row>
    <row r="66" customFormat="false" ht="30" hidden="false" customHeight="true" outlineLevel="3" collapsed="false">
      <c r="A66" s="1"/>
      <c r="B66" s="8" t="s">
        <v>156</v>
      </c>
      <c r="C66" s="43" t="n">
        <v>4</v>
      </c>
      <c r="D66" s="44" t="s">
        <v>157</v>
      </c>
      <c r="E66" s="43" t="s">
        <v>105</v>
      </c>
      <c r="F66" s="45" t="n">
        <v>1</v>
      </c>
      <c r="G66" s="9" t="n">
        <v>854.9</v>
      </c>
      <c r="H66" s="9" t="n">
        <v>854.9</v>
      </c>
      <c r="I66" s="9" t="n">
        <f aca="false">SUMIF(Lançamentos!$F$7:$F$200,B66&amp;"*",Lançamentos!$O$7:$O$200)</f>
        <v>0</v>
      </c>
      <c r="J66" s="9" t="n">
        <f aca="false">H66-I66</f>
        <v>854.9</v>
      </c>
      <c r="K66" s="10" t="n">
        <f aca="false">IF(H66=0,0,I66/H66)</f>
        <v>0</v>
      </c>
      <c r="L66" s="1"/>
    </row>
    <row r="67" customFormat="false" ht="30" hidden="false" customHeight="true" outlineLevel="3" collapsed="false">
      <c r="A67" s="1"/>
      <c r="B67" s="8" t="s">
        <v>158</v>
      </c>
      <c r="C67" s="43" t="n">
        <v>4</v>
      </c>
      <c r="D67" s="44" t="s">
        <v>159</v>
      </c>
      <c r="E67" s="43" t="s">
        <v>105</v>
      </c>
      <c r="F67" s="45" t="n">
        <v>1</v>
      </c>
      <c r="G67" s="9" t="n">
        <v>75.7922</v>
      </c>
      <c r="H67" s="9" t="n">
        <v>75.7922</v>
      </c>
      <c r="I67" s="9" t="n">
        <f aca="false">SUMIF(Lançamentos!$F$7:$F$200,B67&amp;"*",Lançamentos!$O$7:$O$200)</f>
        <v>0</v>
      </c>
      <c r="J67" s="9" t="n">
        <f aca="false">H67-I67</f>
        <v>75.7922</v>
      </c>
      <c r="K67" s="10" t="n">
        <f aca="false">IF(H67=0,0,I67/H67)</f>
        <v>0</v>
      </c>
      <c r="L67" s="1"/>
    </row>
    <row r="68" customFormat="false" ht="21.75" hidden="false" customHeight="true" outlineLevel="2" collapsed="false">
      <c r="A68" s="1"/>
      <c r="B68" s="11" t="s">
        <v>160</v>
      </c>
      <c r="C68" s="40" t="n">
        <v>3</v>
      </c>
      <c r="D68" s="41" t="s">
        <v>161</v>
      </c>
      <c r="E68" s="40"/>
      <c r="F68" s="42"/>
      <c r="G68" s="12"/>
      <c r="H68" s="12" t="n">
        <f aca="false">SUMIFS($H$8:$H$98,$B$8:$B$98,B68&amp;"*",$C$8:$C$98,4)</f>
        <v>1448.07507775</v>
      </c>
      <c r="I68" s="12" t="n">
        <f aca="false">SUMIF(Lançamentos!$F$7:$F$200,B68&amp;"*",Lançamentos!$O$7:$O$200)</f>
        <v>0</v>
      </c>
      <c r="J68" s="12" t="n">
        <f aca="false">H68-I68</f>
        <v>1448.07507775</v>
      </c>
      <c r="K68" s="13" t="n">
        <f aca="false">IF(H68=0,0,I68/H68)</f>
        <v>0</v>
      </c>
      <c r="L68" s="1"/>
    </row>
    <row r="69" customFormat="false" ht="30" hidden="false" customHeight="true" outlineLevel="3" collapsed="false">
      <c r="A69" s="1"/>
      <c r="B69" s="8" t="s">
        <v>162</v>
      </c>
      <c r="C69" s="43" t="n">
        <v>4</v>
      </c>
      <c r="D69" s="44" t="s">
        <v>163</v>
      </c>
      <c r="E69" s="43" t="s">
        <v>105</v>
      </c>
      <c r="F69" s="45" t="n">
        <v>1</v>
      </c>
      <c r="G69" s="9" t="n">
        <v>471.9</v>
      </c>
      <c r="H69" s="9" t="n">
        <v>471.9</v>
      </c>
      <c r="I69" s="9" t="n">
        <f aca="false">SUMIF(Lançamentos!$F$7:$F$200,B69&amp;"*",Lançamentos!$O$7:$O$200)</f>
        <v>0</v>
      </c>
      <c r="J69" s="9" t="n">
        <f aca="false">H69-I69</f>
        <v>471.9</v>
      </c>
      <c r="K69" s="10" t="n">
        <f aca="false">IF(H69=0,0,I69/H69)</f>
        <v>0</v>
      </c>
      <c r="L69" s="1"/>
    </row>
    <row r="70" customFormat="false" ht="30" hidden="false" customHeight="true" outlineLevel="3" collapsed="false">
      <c r="A70" s="1"/>
      <c r="B70" s="8" t="s">
        <v>164</v>
      </c>
      <c r="C70" s="43" t="n">
        <v>4</v>
      </c>
      <c r="D70" s="44" t="s">
        <v>165</v>
      </c>
      <c r="E70" s="43" t="s">
        <v>105</v>
      </c>
      <c r="F70" s="45" t="n">
        <v>1</v>
      </c>
      <c r="G70" s="9" t="n">
        <v>449</v>
      </c>
      <c r="H70" s="9" t="n">
        <v>449</v>
      </c>
      <c r="I70" s="9" t="n">
        <f aca="false">SUMIF(Lançamentos!$F$7:$F$200,B70&amp;"*",Lançamentos!$O$7:$O$200)</f>
        <v>0</v>
      </c>
      <c r="J70" s="9" t="n">
        <f aca="false">H70-I70</f>
        <v>449</v>
      </c>
      <c r="K70" s="10" t="n">
        <f aca="false">IF(H70=0,0,I70/H70)</f>
        <v>0</v>
      </c>
      <c r="L70" s="1"/>
    </row>
    <row r="71" customFormat="false" ht="30" hidden="false" customHeight="true" outlineLevel="3" collapsed="false">
      <c r="A71" s="1"/>
      <c r="B71" s="8" t="s">
        <v>166</v>
      </c>
      <c r="C71" s="43" t="n">
        <v>4</v>
      </c>
      <c r="D71" s="44" t="s">
        <v>167</v>
      </c>
      <c r="E71" s="43" t="s">
        <v>105</v>
      </c>
      <c r="F71" s="45" t="n">
        <v>1</v>
      </c>
      <c r="G71" s="9" t="n">
        <v>128.54</v>
      </c>
      <c r="H71" s="9" t="n">
        <v>128.54</v>
      </c>
      <c r="I71" s="9" t="n">
        <f aca="false">SUMIF(Lançamentos!$F$7:$F$200,B71&amp;"*",Lançamentos!$O$7:$O$200)</f>
        <v>0</v>
      </c>
      <c r="J71" s="9" t="n">
        <f aca="false">H71-I71</f>
        <v>128.54</v>
      </c>
      <c r="K71" s="10" t="n">
        <f aca="false">IF(H71=0,0,I71/H71)</f>
        <v>0</v>
      </c>
      <c r="L71" s="1"/>
    </row>
    <row r="72" customFormat="false" ht="30" hidden="false" customHeight="true" outlineLevel="3" collapsed="false">
      <c r="A72" s="1"/>
      <c r="B72" s="8" t="s">
        <v>168</v>
      </c>
      <c r="C72" s="43" t="n">
        <v>4</v>
      </c>
      <c r="D72" s="44" t="s">
        <v>169</v>
      </c>
      <c r="E72" s="43" t="s">
        <v>105</v>
      </c>
      <c r="F72" s="45" t="n">
        <v>1</v>
      </c>
      <c r="G72" s="9" t="n">
        <v>225</v>
      </c>
      <c r="H72" s="9" t="n">
        <v>225</v>
      </c>
      <c r="I72" s="9" t="n">
        <f aca="false">SUMIF(Lançamentos!$F$7:$F$200,B72&amp;"*",Lançamentos!$O$7:$O$200)</f>
        <v>0</v>
      </c>
      <c r="J72" s="9" t="n">
        <f aca="false">H72-I72</f>
        <v>225</v>
      </c>
      <c r="K72" s="10" t="n">
        <f aca="false">IF(H72=0,0,I72/H72)</f>
        <v>0</v>
      </c>
      <c r="L72" s="1"/>
    </row>
    <row r="73" customFormat="false" ht="30" hidden="false" customHeight="true" outlineLevel="3" collapsed="false">
      <c r="A73" s="1"/>
      <c r="B73" s="8" t="s">
        <v>170</v>
      </c>
      <c r="C73" s="43" t="n">
        <v>4</v>
      </c>
      <c r="D73" s="44" t="s">
        <v>171</v>
      </c>
      <c r="E73" s="43" t="s">
        <v>105</v>
      </c>
      <c r="F73" s="45" t="n">
        <v>1</v>
      </c>
      <c r="G73" s="9" t="n">
        <v>79.1822</v>
      </c>
      <c r="H73" s="9" t="n">
        <v>79.1822</v>
      </c>
      <c r="I73" s="9" t="n">
        <f aca="false">SUMIF(Lançamentos!$F$7:$F$200,B73&amp;"*",Lançamentos!$O$7:$O$200)</f>
        <v>0</v>
      </c>
      <c r="J73" s="9" t="n">
        <f aca="false">H73-I73</f>
        <v>79.1822</v>
      </c>
      <c r="K73" s="10" t="n">
        <f aca="false">IF(H73=0,0,I73/H73)</f>
        <v>0</v>
      </c>
      <c r="L73" s="1"/>
    </row>
    <row r="74" customFormat="false" ht="30" hidden="false" customHeight="true" outlineLevel="3" collapsed="false">
      <c r="A74" s="1"/>
      <c r="B74" s="8" t="s">
        <v>172</v>
      </c>
      <c r="C74" s="43" t="n">
        <v>4</v>
      </c>
      <c r="D74" s="44" t="s">
        <v>173</v>
      </c>
      <c r="E74" s="43" t="s">
        <v>105</v>
      </c>
      <c r="F74" s="45" t="n">
        <v>2</v>
      </c>
      <c r="G74" s="9" t="n">
        <v>47.226438875</v>
      </c>
      <c r="H74" s="9" t="n">
        <v>94.45287775</v>
      </c>
      <c r="I74" s="9" t="n">
        <f aca="false">SUMIF(Lançamentos!$F$7:$F$200,B74&amp;"*",Lançamentos!$O$7:$O$200)</f>
        <v>0</v>
      </c>
      <c r="J74" s="9" t="n">
        <f aca="false">H74-I74</f>
        <v>94.45287775</v>
      </c>
      <c r="K74" s="10" t="n">
        <f aca="false">IF(H74=0,0,I74/H74)</f>
        <v>0</v>
      </c>
      <c r="L74" s="1"/>
    </row>
    <row r="75" customFormat="false" ht="21.75" hidden="false" customHeight="true" outlineLevel="1" collapsed="false">
      <c r="A75" s="1"/>
      <c r="B75" s="34" t="s">
        <v>174</v>
      </c>
      <c r="C75" s="35" t="n">
        <v>2</v>
      </c>
      <c r="D75" s="36" t="s">
        <v>175</v>
      </c>
      <c r="E75" s="35"/>
      <c r="F75" s="37"/>
      <c r="G75" s="38"/>
      <c r="H75" s="38" t="n">
        <f aca="false">SUMIFS($H$8:$H$98,$B$8:$B$98,B75&amp;"*",$C$8:$C$98,4)</f>
        <v>32986.26</v>
      </c>
      <c r="I75" s="38" t="n">
        <f aca="false">SUMIF(Lançamentos!$F$7:$F$200,B75&amp;"*",Lançamentos!$O$7:$O$200)</f>
        <v>4411.16</v>
      </c>
      <c r="J75" s="38" t="n">
        <f aca="false">H75-I75</f>
        <v>28575.1</v>
      </c>
      <c r="K75" s="39" t="n">
        <f aca="false">IF(H75=0,0,I75/H75)</f>
        <v>0.133727194292411</v>
      </c>
      <c r="L75" s="1"/>
    </row>
    <row r="76" customFormat="false" ht="21.75" hidden="false" customHeight="true" outlineLevel="2" collapsed="false">
      <c r="A76" s="1"/>
      <c r="B76" s="11" t="s">
        <v>176</v>
      </c>
      <c r="C76" s="40" t="n">
        <v>3</v>
      </c>
      <c r="D76" s="41" t="s">
        <v>177</v>
      </c>
      <c r="E76" s="40"/>
      <c r="F76" s="42"/>
      <c r="G76" s="12"/>
      <c r="H76" s="12" t="n">
        <f aca="false">SUMIFS($H$8:$H$98,$B$8:$B$98,B76&amp;"*",$C$8:$C$98,4)</f>
        <v>16400</v>
      </c>
      <c r="I76" s="12" t="n">
        <f aca="false">SUMIF(Lançamentos!$F$7:$F$200,B76&amp;"*",Lançamentos!$O$7:$O$200)</f>
        <v>0</v>
      </c>
      <c r="J76" s="12" t="n">
        <f aca="false">H76-I76</f>
        <v>16400</v>
      </c>
      <c r="K76" s="13" t="n">
        <f aca="false">IF(H76=0,0,I76/H76)</f>
        <v>0</v>
      </c>
      <c r="L76" s="1"/>
    </row>
    <row r="77" customFormat="false" ht="30" hidden="false" customHeight="true" outlineLevel="3" collapsed="false">
      <c r="A77" s="1"/>
      <c r="B77" s="8" t="s">
        <v>178</v>
      </c>
      <c r="C77" s="43" t="n">
        <v>4</v>
      </c>
      <c r="D77" s="44" t="s">
        <v>179</v>
      </c>
      <c r="E77" s="43" t="s">
        <v>50</v>
      </c>
      <c r="F77" s="45" t="n">
        <v>1</v>
      </c>
      <c r="G77" s="9" t="n">
        <v>16400</v>
      </c>
      <c r="H77" s="9" t="n">
        <v>16400</v>
      </c>
      <c r="I77" s="9" t="n">
        <f aca="false">SUMIF(Lançamentos!$F$7:$F$200,B77&amp;"*",Lançamentos!$O$7:$O$200)</f>
        <v>0</v>
      </c>
      <c r="J77" s="9" t="n">
        <f aca="false">H77-I77</f>
        <v>16400</v>
      </c>
      <c r="K77" s="10" t="n">
        <f aca="false">IF(H77=0,0,I77/H77)</f>
        <v>0</v>
      </c>
      <c r="L77" s="1"/>
    </row>
    <row r="78" customFormat="false" ht="21.75" hidden="false" customHeight="true" outlineLevel="2" collapsed="false">
      <c r="A78" s="1"/>
      <c r="B78" s="11" t="s">
        <v>180</v>
      </c>
      <c r="C78" s="40" t="n">
        <v>3</v>
      </c>
      <c r="D78" s="41" t="s">
        <v>181</v>
      </c>
      <c r="E78" s="40"/>
      <c r="F78" s="42"/>
      <c r="G78" s="12"/>
      <c r="H78" s="12" t="n">
        <f aca="false">SUMIFS($H$8:$H$98,$B$8:$B$98,B78&amp;"*",$C$8:$C$98,4)</f>
        <v>2653.38</v>
      </c>
      <c r="I78" s="12" t="n">
        <f aca="false">SUMIF(Lançamentos!$F$7:$F$200,B78&amp;"*",Lançamentos!$O$7:$O$200)</f>
        <v>0</v>
      </c>
      <c r="J78" s="12" t="n">
        <f aca="false">H78-I78</f>
        <v>2653.38</v>
      </c>
      <c r="K78" s="13" t="n">
        <f aca="false">IF(H78=0,0,I78/H78)</f>
        <v>0</v>
      </c>
      <c r="L78" s="1"/>
    </row>
    <row r="79" customFormat="false" ht="30" hidden="false" customHeight="true" outlineLevel="3" collapsed="false">
      <c r="A79" s="1"/>
      <c r="B79" s="8" t="s">
        <v>182</v>
      </c>
      <c r="C79" s="43" t="n">
        <v>4</v>
      </c>
      <c r="D79" s="44" t="s">
        <v>183</v>
      </c>
      <c r="E79" s="43" t="s">
        <v>50</v>
      </c>
      <c r="F79" s="45" t="n">
        <v>1</v>
      </c>
      <c r="G79" s="9" t="n">
        <v>2653.38</v>
      </c>
      <c r="H79" s="9" t="n">
        <v>2653.38</v>
      </c>
      <c r="I79" s="9" t="n">
        <f aca="false">SUMIF(Lançamentos!$F$7:$F$200,B79&amp;"*",Lançamentos!$O$7:$O$200)</f>
        <v>0</v>
      </c>
      <c r="J79" s="9" t="n">
        <f aca="false">H79-I79</f>
        <v>2653.38</v>
      </c>
      <c r="K79" s="10" t="n">
        <f aca="false">IF(H79=0,0,I79/H79)</f>
        <v>0</v>
      </c>
      <c r="L79" s="1"/>
    </row>
    <row r="80" customFormat="false" ht="21.75" hidden="false" customHeight="true" outlineLevel="2" collapsed="false">
      <c r="A80" s="1"/>
      <c r="B80" s="11" t="s">
        <v>184</v>
      </c>
      <c r="C80" s="40" t="n">
        <v>3</v>
      </c>
      <c r="D80" s="41" t="s">
        <v>185</v>
      </c>
      <c r="E80" s="40"/>
      <c r="F80" s="42"/>
      <c r="G80" s="12"/>
      <c r="H80" s="12" t="n">
        <f aca="false">SUMIFS($H$8:$H$98,$B$8:$B$98,B80&amp;"*",$C$8:$C$98,4)</f>
        <v>861.72</v>
      </c>
      <c r="I80" s="12" t="n">
        <f aca="false">SUMIF(Lançamentos!$F$7:$F$200,B80&amp;"*",Lançamentos!$O$7:$O$200)</f>
        <v>0</v>
      </c>
      <c r="J80" s="12" t="n">
        <f aca="false">H80-I80</f>
        <v>861.72</v>
      </c>
      <c r="K80" s="13" t="n">
        <f aca="false">IF(H80=0,0,I80/H80)</f>
        <v>0</v>
      </c>
      <c r="L80" s="1"/>
    </row>
    <row r="81" customFormat="false" ht="30" hidden="false" customHeight="true" outlineLevel="3" collapsed="false">
      <c r="A81" s="1"/>
      <c r="B81" s="8" t="s">
        <v>186</v>
      </c>
      <c r="C81" s="43" t="n">
        <v>4</v>
      </c>
      <c r="D81" s="44" t="s">
        <v>187</v>
      </c>
      <c r="E81" s="43" t="s">
        <v>50</v>
      </c>
      <c r="F81" s="45" t="n">
        <v>1</v>
      </c>
      <c r="G81" s="9" t="n">
        <v>861.72</v>
      </c>
      <c r="H81" s="9" t="n">
        <v>861.72</v>
      </c>
      <c r="I81" s="9" t="n">
        <f aca="false">SUMIF(Lançamentos!$F$7:$F$200,B81&amp;"*",Lançamentos!$O$7:$O$200)</f>
        <v>0</v>
      </c>
      <c r="J81" s="9" t="n">
        <f aca="false">H81-I81</f>
        <v>861.72</v>
      </c>
      <c r="K81" s="10" t="n">
        <f aca="false">IF(H81=0,0,I81/H81)</f>
        <v>0</v>
      </c>
      <c r="L81" s="1"/>
    </row>
    <row r="82" customFormat="false" ht="21.75" hidden="false" customHeight="true" outlineLevel="2" collapsed="false">
      <c r="A82" s="1"/>
      <c r="B82" s="11" t="s">
        <v>188</v>
      </c>
      <c r="C82" s="40" t="n">
        <v>3</v>
      </c>
      <c r="D82" s="41" t="s">
        <v>189</v>
      </c>
      <c r="E82" s="40"/>
      <c r="F82" s="42"/>
      <c r="G82" s="12"/>
      <c r="H82" s="12" t="n">
        <f aca="false">SUMIFS($H$8:$H$98,$B$8:$B$98,B82&amp;"*",$C$8:$C$98,4)</f>
        <v>8200</v>
      </c>
      <c r="I82" s="12" t="n">
        <f aca="false">SUMIF(Lançamentos!$F$7:$F$200,B82&amp;"*",Lançamentos!$O$7:$O$200)</f>
        <v>4411.16</v>
      </c>
      <c r="J82" s="12" t="n">
        <f aca="false">H82-I82</f>
        <v>3788.84</v>
      </c>
      <c r="K82" s="13" t="n">
        <f aca="false">IF(H82=0,0,I82/H82)</f>
        <v>0.537946341463415</v>
      </c>
      <c r="L82" s="1"/>
    </row>
    <row r="83" customFormat="false" ht="30" hidden="false" customHeight="true" outlineLevel="3" collapsed="false">
      <c r="A83" s="1"/>
      <c r="B83" s="8" t="s">
        <v>190</v>
      </c>
      <c r="C83" s="43" t="n">
        <v>4</v>
      </c>
      <c r="D83" s="44" t="s">
        <v>191</v>
      </c>
      <c r="E83" s="43" t="s">
        <v>50</v>
      </c>
      <c r="F83" s="45" t="n">
        <v>1</v>
      </c>
      <c r="G83" s="9" t="n">
        <v>8200</v>
      </c>
      <c r="H83" s="9" t="n">
        <v>8200</v>
      </c>
      <c r="I83" s="9" t="n">
        <f aca="false">SUMIF(Lançamentos!$F$7:$F$200,B83&amp;"*",Lançamentos!$O$7:$O$200)</f>
        <v>4411.16</v>
      </c>
      <c r="J83" s="9" t="n">
        <f aca="false">H83-I83</f>
        <v>3788.84</v>
      </c>
      <c r="K83" s="10" t="n">
        <f aca="false">IF(H83=0,0,I83/H83)</f>
        <v>0.537946341463415</v>
      </c>
      <c r="L83" s="1"/>
    </row>
    <row r="84" customFormat="false" ht="21.75" hidden="false" customHeight="true" outlineLevel="2" collapsed="false">
      <c r="A84" s="1"/>
      <c r="B84" s="11" t="s">
        <v>192</v>
      </c>
      <c r="C84" s="40" t="n">
        <v>3</v>
      </c>
      <c r="D84" s="41" t="s">
        <v>193</v>
      </c>
      <c r="E84" s="40"/>
      <c r="F84" s="42"/>
      <c r="G84" s="12"/>
      <c r="H84" s="12" t="n">
        <f aca="false">SUMIFS($H$8:$H$98,$B$8:$B$98,B84&amp;"*",$C$8:$C$98,4)</f>
        <v>4871.16</v>
      </c>
      <c r="I84" s="12" t="n">
        <f aca="false">SUMIF(Lançamentos!$F$7:$F$200,B84&amp;"*",Lançamentos!$O$7:$O$200)</f>
        <v>0</v>
      </c>
      <c r="J84" s="12" t="n">
        <f aca="false">H84-I84</f>
        <v>4871.16</v>
      </c>
      <c r="K84" s="13" t="n">
        <f aca="false">IF(H84=0,0,I84/H84)</f>
        <v>0</v>
      </c>
      <c r="L84" s="1"/>
    </row>
    <row r="85" customFormat="false" ht="30" hidden="false" customHeight="true" outlineLevel="3" collapsed="false">
      <c r="A85" s="1"/>
      <c r="B85" s="8" t="s">
        <v>194</v>
      </c>
      <c r="C85" s="43" t="n">
        <v>4</v>
      </c>
      <c r="D85" s="44" t="s">
        <v>195</v>
      </c>
      <c r="E85" s="43" t="s">
        <v>50</v>
      </c>
      <c r="F85" s="45" t="n">
        <v>1</v>
      </c>
      <c r="G85" s="9" t="n">
        <v>4871.16</v>
      </c>
      <c r="H85" s="9" t="n">
        <v>4871.16</v>
      </c>
      <c r="I85" s="9" t="n">
        <f aca="false">SUMIF(Lançamentos!$F$7:$F$200,B85&amp;"*",Lançamentos!$O$7:$O$200)</f>
        <v>0</v>
      </c>
      <c r="J85" s="9" t="n">
        <f aca="false">H85-I85</f>
        <v>4871.16</v>
      </c>
      <c r="K85" s="10" t="n">
        <f aca="false">IF(H85=0,0,I85/H85)</f>
        <v>0</v>
      </c>
      <c r="L85" s="1"/>
    </row>
    <row r="86" customFormat="false" ht="21.75" hidden="false" customHeight="true" outlineLevel="1" collapsed="false">
      <c r="A86" s="1"/>
      <c r="B86" s="34" t="s">
        <v>196</v>
      </c>
      <c r="C86" s="35" t="n">
        <v>2</v>
      </c>
      <c r="D86" s="36" t="s">
        <v>197</v>
      </c>
      <c r="E86" s="35"/>
      <c r="F86" s="37"/>
      <c r="G86" s="38"/>
      <c r="H86" s="38" t="n">
        <f aca="false">SUMIFS($H$8:$H$98,$B$8:$B$98,B86&amp;"*",$C$8:$C$98,4)</f>
        <v>1498.34</v>
      </c>
      <c r="I86" s="38" t="n">
        <f aca="false">SUMIF(Lançamentos!$F$7:$F$200,B86&amp;"*",Lançamentos!$O$7:$O$200)</f>
        <v>0</v>
      </c>
      <c r="J86" s="38" t="n">
        <f aca="false">H86-I86</f>
        <v>1498.34</v>
      </c>
      <c r="K86" s="39" t="n">
        <f aca="false">IF(H86=0,0,I86/H86)</f>
        <v>0</v>
      </c>
      <c r="L86" s="1"/>
    </row>
    <row r="87" customFormat="false" ht="21.75" hidden="false" customHeight="true" outlineLevel="2" collapsed="false">
      <c r="A87" s="1"/>
      <c r="B87" s="11" t="s">
        <v>198</v>
      </c>
      <c r="C87" s="40" t="n">
        <v>3</v>
      </c>
      <c r="D87" s="41" t="s">
        <v>197</v>
      </c>
      <c r="E87" s="40"/>
      <c r="F87" s="42"/>
      <c r="G87" s="12"/>
      <c r="H87" s="12" t="n">
        <f aca="false">SUMIFS($H$8:$H$98,$B$8:$B$98,B87&amp;"*",$C$8:$C$98,4)</f>
        <v>1498.34</v>
      </c>
      <c r="I87" s="12" t="n">
        <f aca="false">SUMIF(Lançamentos!$F$7:$F$200,B87&amp;"*",Lançamentos!$O$7:$O$200)</f>
        <v>0</v>
      </c>
      <c r="J87" s="12" t="n">
        <f aca="false">H87-I87</f>
        <v>1498.34</v>
      </c>
      <c r="K87" s="13" t="n">
        <f aca="false">IF(H87=0,0,I87/H87)</f>
        <v>0</v>
      </c>
      <c r="L87" s="1"/>
    </row>
    <row r="88" customFormat="false" ht="30" hidden="false" customHeight="true" outlineLevel="3" collapsed="false">
      <c r="A88" s="1"/>
      <c r="B88" s="8" t="s">
        <v>199</v>
      </c>
      <c r="C88" s="43" t="n">
        <v>4</v>
      </c>
      <c r="D88" s="44" t="s">
        <v>200</v>
      </c>
      <c r="E88" s="43" t="s">
        <v>70</v>
      </c>
      <c r="F88" s="45" t="n">
        <v>39.43</v>
      </c>
      <c r="G88" s="9" t="n">
        <v>38</v>
      </c>
      <c r="H88" s="9" t="n">
        <v>1498.34</v>
      </c>
      <c r="I88" s="9" t="n">
        <f aca="false">SUMIF(Lançamentos!$F$7:$F$200,B88&amp;"*",Lançamentos!$O$7:$O$200)</f>
        <v>0</v>
      </c>
      <c r="J88" s="9" t="n">
        <f aca="false">H88-I88</f>
        <v>1498.34</v>
      </c>
      <c r="K88" s="10" t="n">
        <f aca="false">IF(H88=0,0,I88/H88)</f>
        <v>0</v>
      </c>
      <c r="L88" s="1"/>
    </row>
    <row r="89" customFormat="false" ht="21.75" hidden="false" customHeight="true" outlineLevel="0" collapsed="false">
      <c r="A89" s="1"/>
      <c r="B89" s="28" t="s">
        <v>201</v>
      </c>
      <c r="C89" s="29" t="n">
        <v>1</v>
      </c>
      <c r="D89" s="30" t="s">
        <v>202</v>
      </c>
      <c r="E89" s="29"/>
      <c r="F89" s="31"/>
      <c r="G89" s="32"/>
      <c r="H89" s="32" t="n">
        <f aca="false">SUMIFS($H$8:$H$98,$B$8:$B$98,B89&amp;"*",$C$8:$C$98,4)</f>
        <v>128014.56</v>
      </c>
      <c r="I89" s="32" t="n">
        <f aca="false">SUMIF(Lançamentos!$F$7:$F$200,B89&amp;"*",Lançamentos!$O$7:$O$200)</f>
        <v>0</v>
      </c>
      <c r="J89" s="32" t="n">
        <f aca="false">H89-I89</f>
        <v>128014.56</v>
      </c>
      <c r="K89" s="33" t="n">
        <f aca="false">IF(H89=0,0,I89/H89)</f>
        <v>0</v>
      </c>
      <c r="L89" s="1"/>
    </row>
    <row r="90" customFormat="false" ht="21.75" hidden="false" customHeight="true" outlineLevel="1" collapsed="false">
      <c r="A90" s="1"/>
      <c r="B90" s="34" t="s">
        <v>203</v>
      </c>
      <c r="C90" s="35" t="n">
        <v>2</v>
      </c>
      <c r="D90" s="36" t="s">
        <v>202</v>
      </c>
      <c r="E90" s="35"/>
      <c r="F90" s="37"/>
      <c r="G90" s="38"/>
      <c r="H90" s="38" t="n">
        <f aca="false">SUMIFS($H$8:$H$98,$B$8:$B$98,B90&amp;"*",$C$8:$C$98,4)</f>
        <v>128014.56</v>
      </c>
      <c r="I90" s="38" t="n">
        <f aca="false">SUMIF(Lançamentos!$F$7:$F$200,B90&amp;"*",Lançamentos!$O$7:$O$200)</f>
        <v>0</v>
      </c>
      <c r="J90" s="38" t="n">
        <f aca="false">H90-I90</f>
        <v>128014.56</v>
      </c>
      <c r="K90" s="39" t="n">
        <f aca="false">IF(H90=0,0,I90/H90)</f>
        <v>0</v>
      </c>
      <c r="L90" s="1"/>
    </row>
    <row r="91" customFormat="false" ht="21.75" hidden="false" customHeight="true" outlineLevel="2" collapsed="false">
      <c r="A91" s="1"/>
      <c r="B91" s="11" t="s">
        <v>204</v>
      </c>
      <c r="C91" s="40" t="n">
        <v>3</v>
      </c>
      <c r="D91" s="41" t="s">
        <v>205</v>
      </c>
      <c r="E91" s="40"/>
      <c r="F91" s="42"/>
      <c r="G91" s="12"/>
      <c r="H91" s="12" t="n">
        <f aca="false">SUMIFS($H$8:$H$98,$B$8:$B$98,B91&amp;"*",$C$8:$C$98,4)</f>
        <v>34800</v>
      </c>
      <c r="I91" s="12" t="n">
        <f aca="false">SUMIF(Lançamentos!$F$7:$F$200,B91&amp;"*",Lançamentos!$O$7:$O$200)</f>
        <v>0</v>
      </c>
      <c r="J91" s="12" t="n">
        <f aca="false">H91-I91</f>
        <v>34800</v>
      </c>
      <c r="K91" s="13" t="n">
        <f aca="false">IF(H91=0,0,I91/H91)</f>
        <v>0</v>
      </c>
      <c r="L91" s="1"/>
    </row>
    <row r="92" customFormat="false" ht="30" hidden="false" customHeight="true" outlineLevel="3" collapsed="false">
      <c r="A92" s="1"/>
      <c r="B92" s="8" t="s">
        <v>206</v>
      </c>
      <c r="C92" s="43" t="n">
        <v>4</v>
      </c>
      <c r="D92" s="44" t="s">
        <v>207</v>
      </c>
      <c r="E92" s="43" t="s">
        <v>47</v>
      </c>
      <c r="F92" s="45" t="n">
        <v>1</v>
      </c>
      <c r="G92" s="9" t="n">
        <v>34800</v>
      </c>
      <c r="H92" s="9" t="n">
        <v>34800</v>
      </c>
      <c r="I92" s="9" t="n">
        <f aca="false">SUMIF(Lançamentos!$F$7:$F$200,B92&amp;"*",Lançamentos!$O$7:$O$200)</f>
        <v>0</v>
      </c>
      <c r="J92" s="9" t="n">
        <f aca="false">H92-I92</f>
        <v>34800</v>
      </c>
      <c r="K92" s="10" t="n">
        <f aca="false">IF(H92=0,0,I92/H92)</f>
        <v>0</v>
      </c>
      <c r="L92" s="1"/>
    </row>
    <row r="93" customFormat="false" ht="21.75" hidden="false" customHeight="true" outlineLevel="2" collapsed="false">
      <c r="A93" s="1"/>
      <c r="B93" s="11" t="s">
        <v>208</v>
      </c>
      <c r="C93" s="40" t="n">
        <v>3</v>
      </c>
      <c r="D93" s="41" t="s">
        <v>209</v>
      </c>
      <c r="E93" s="40"/>
      <c r="F93" s="42"/>
      <c r="G93" s="12"/>
      <c r="H93" s="12" t="n">
        <f aca="false">SUMIFS($H$8:$H$98,$B$8:$B$98,B93&amp;"*",$C$8:$C$98,4)</f>
        <v>19564.36</v>
      </c>
      <c r="I93" s="12" t="n">
        <f aca="false">SUMIF(Lançamentos!$F$7:$F$200,B93&amp;"*",Lançamentos!$O$7:$O$200)</f>
        <v>0</v>
      </c>
      <c r="J93" s="12" t="n">
        <f aca="false">H93-I93</f>
        <v>19564.36</v>
      </c>
      <c r="K93" s="13" t="n">
        <f aca="false">IF(H93=0,0,I93/H93)</f>
        <v>0</v>
      </c>
      <c r="L93" s="1"/>
    </row>
    <row r="94" customFormat="false" ht="30" hidden="false" customHeight="true" outlineLevel="3" collapsed="false">
      <c r="A94" s="1"/>
      <c r="B94" s="8" t="s">
        <v>210</v>
      </c>
      <c r="C94" s="43" t="n">
        <v>4</v>
      </c>
      <c r="D94" s="44" t="s">
        <v>211</v>
      </c>
      <c r="E94" s="43" t="s">
        <v>47</v>
      </c>
      <c r="F94" s="45" t="n">
        <v>1</v>
      </c>
      <c r="G94" s="9" t="n">
        <v>19564.36</v>
      </c>
      <c r="H94" s="9" t="n">
        <v>19564.36</v>
      </c>
      <c r="I94" s="9" t="n">
        <f aca="false">SUMIF(Lançamentos!$F$7:$F$200,B94&amp;"*",Lançamentos!$O$7:$O$200)</f>
        <v>0</v>
      </c>
      <c r="J94" s="9" t="n">
        <f aca="false">H94-I94</f>
        <v>19564.36</v>
      </c>
      <c r="K94" s="10" t="n">
        <f aca="false">IF(H94=0,0,I94/H94)</f>
        <v>0</v>
      </c>
      <c r="L94" s="1"/>
    </row>
    <row r="95" customFormat="false" ht="21.75" hidden="false" customHeight="true" outlineLevel="2" collapsed="false">
      <c r="A95" s="1"/>
      <c r="B95" s="11" t="s">
        <v>212</v>
      </c>
      <c r="C95" s="40" t="n">
        <v>3</v>
      </c>
      <c r="D95" s="41" t="s">
        <v>213</v>
      </c>
      <c r="E95" s="40"/>
      <c r="F95" s="42"/>
      <c r="G95" s="12"/>
      <c r="H95" s="12" t="n">
        <f aca="false">SUMIFS($H$8:$H$98,$B$8:$B$98,B95&amp;"*",$C$8:$C$98,4)</f>
        <v>48810.2</v>
      </c>
      <c r="I95" s="12" t="n">
        <f aca="false">SUMIF(Lançamentos!$F$7:$F$200,B95&amp;"*",Lançamentos!$O$7:$O$200)</f>
        <v>0</v>
      </c>
      <c r="J95" s="12" t="n">
        <f aca="false">H95-I95</f>
        <v>48810.2</v>
      </c>
      <c r="K95" s="13" t="n">
        <f aca="false">IF(H95=0,0,I95/H95)</f>
        <v>0</v>
      </c>
      <c r="L95" s="1"/>
    </row>
    <row r="96" customFormat="false" ht="30" hidden="false" customHeight="true" outlineLevel="3" collapsed="false">
      <c r="A96" s="1"/>
      <c r="B96" s="8" t="s">
        <v>214</v>
      </c>
      <c r="C96" s="43" t="n">
        <v>4</v>
      </c>
      <c r="D96" s="44" t="s">
        <v>215</v>
      </c>
      <c r="E96" s="43" t="s">
        <v>47</v>
      </c>
      <c r="F96" s="45" t="n">
        <v>1</v>
      </c>
      <c r="G96" s="9" t="n">
        <v>48810.2</v>
      </c>
      <c r="H96" s="9" t="n">
        <v>48810.2</v>
      </c>
      <c r="I96" s="9" t="n">
        <f aca="false">SUMIF(Lançamentos!$F$7:$F$200,B96&amp;"*",Lançamentos!$O$7:$O$200)</f>
        <v>0</v>
      </c>
      <c r="J96" s="9" t="n">
        <f aca="false">H96-I96</f>
        <v>48810.2</v>
      </c>
      <c r="K96" s="10" t="n">
        <f aca="false">IF(H96=0,0,I96/H96)</f>
        <v>0</v>
      </c>
      <c r="L96" s="1"/>
    </row>
    <row r="97" customFormat="false" ht="21.75" hidden="false" customHeight="true" outlineLevel="2" collapsed="false">
      <c r="A97" s="1"/>
      <c r="B97" s="11" t="s">
        <v>216</v>
      </c>
      <c r="C97" s="40" t="n">
        <v>3</v>
      </c>
      <c r="D97" s="41" t="s">
        <v>217</v>
      </c>
      <c r="E97" s="40"/>
      <c r="F97" s="42"/>
      <c r="G97" s="12"/>
      <c r="H97" s="12" t="n">
        <f aca="false">SUMIFS($H$8:$H$98,$B$8:$B$98,B97&amp;"*",$C$8:$C$98,4)</f>
        <v>24840</v>
      </c>
      <c r="I97" s="12" t="n">
        <f aca="false">SUMIF(Lançamentos!$F$7:$F$200,B97&amp;"*",Lançamentos!$O$7:$O$200)</f>
        <v>0</v>
      </c>
      <c r="J97" s="12" t="n">
        <f aca="false">H97-I97</f>
        <v>24840</v>
      </c>
      <c r="K97" s="13" t="n">
        <f aca="false">IF(H97=0,0,I97/H97)</f>
        <v>0</v>
      </c>
      <c r="L97" s="1"/>
    </row>
    <row r="98" customFormat="false" ht="30" hidden="false" customHeight="true" outlineLevel="3" collapsed="false">
      <c r="A98" s="1"/>
      <c r="B98" s="8" t="s">
        <v>218</v>
      </c>
      <c r="C98" s="43" t="n">
        <v>4</v>
      </c>
      <c r="D98" s="44" t="s">
        <v>219</v>
      </c>
      <c r="E98" s="43" t="s">
        <v>47</v>
      </c>
      <c r="F98" s="45" t="n">
        <v>1</v>
      </c>
      <c r="G98" s="9" t="n">
        <v>24840</v>
      </c>
      <c r="H98" s="9" t="n">
        <v>24840</v>
      </c>
      <c r="I98" s="9" t="n">
        <f aca="false">SUMIF(Lançamentos!$F$7:$F$200,B98&amp;"*",Lançamentos!$O$7:$O$200)</f>
        <v>0</v>
      </c>
      <c r="J98" s="9" t="n">
        <f aca="false">H98-I98</f>
        <v>24840</v>
      </c>
      <c r="K98" s="10" t="n">
        <f aca="false">IF(H98=0,0,I98/H98)</f>
        <v>0</v>
      </c>
      <c r="L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</sheetData>
  <conditionalFormatting sqref="K8:K98">
    <cfRule type="cellIs" priority="2" operator="greaterThan" aboveAverage="0" equalAverage="0" bottom="0" percent="0" rank="0" text="" dxfId="0">
      <formula>1</formula>
    </cfRule>
  </conditionalFormatting>
  <conditionalFormatting sqref="J8:J98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28"/>
    <col collapsed="false" customWidth="true" hidden="false" outlineLevel="0" max="13" min="13" style="0" width="26"/>
    <col collapsed="false" customWidth="true" hidden="false" outlineLevel="0" max="14" min="14" style="0" width="32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50"/>
    <col collapsed="false" customWidth="true" hidden="false" outlineLevel="0" max="18" min="1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2.05" hidden="false" customHeight="false" outlineLevel="0" collapsed="false">
      <c r="A2" s="1"/>
      <c r="B2" s="26" t="s">
        <v>220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3" t="s">
        <v>221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27" t="s">
        <v>222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30" hidden="false" customHeight="true" outlineLevel="0" collapsed="false">
      <c r="A6" s="1"/>
      <c r="B6" s="7" t="s">
        <v>223</v>
      </c>
      <c r="C6" s="7" t="s">
        <v>224</v>
      </c>
      <c r="D6" s="7" t="s">
        <v>225</v>
      </c>
      <c r="E6" s="7" t="s">
        <v>24</v>
      </c>
      <c r="F6" s="7" t="s">
        <v>226</v>
      </c>
      <c r="G6" s="7" t="s">
        <v>227</v>
      </c>
      <c r="H6" s="7" t="s">
        <v>35</v>
      </c>
      <c r="I6" s="7" t="s">
        <v>228</v>
      </c>
      <c r="J6" s="7" t="s">
        <v>229</v>
      </c>
      <c r="K6" s="7" t="s">
        <v>230</v>
      </c>
      <c r="L6" s="7" t="s">
        <v>231</v>
      </c>
      <c r="M6" s="7" t="s">
        <v>232</v>
      </c>
      <c r="N6" s="7" t="s">
        <v>233</v>
      </c>
      <c r="O6" s="7" t="s">
        <v>26</v>
      </c>
      <c r="P6" s="7" t="s">
        <v>234</v>
      </c>
      <c r="Q6" s="7" t="s">
        <v>235</v>
      </c>
      <c r="R6" s="1"/>
    </row>
    <row r="7" customFormat="false" ht="61.5" hidden="false" customHeight="true" outlineLevel="0" collapsed="false">
      <c r="A7" s="1"/>
      <c r="B7" s="46" t="n">
        <v>1</v>
      </c>
      <c r="C7" s="47" t="n">
        <v>46288.4433912037</v>
      </c>
      <c r="D7" s="48" t="s">
        <v>236</v>
      </c>
      <c r="E7" s="48" t="s">
        <v>27</v>
      </c>
      <c r="F7" s="49" t="s">
        <v>190</v>
      </c>
      <c r="G7" s="50" t="str">
        <f aca="false">IFERROR(INDEX('Orçado x Realizado'!$D$8:$D$200,MATCH(F7,'Orçado x Realizado'!$B$8:$B$200,0)),"código não encontrado")</f>
        <v>FORNECIMENTO E EXECUÇÃO DE INSTALAÇÃO FRIGORÍGENA</v>
      </c>
      <c r="H7" s="50" t="s">
        <v>237</v>
      </c>
      <c r="I7" s="50" t="s">
        <v>238</v>
      </c>
      <c r="J7" s="50" t="s">
        <v>239</v>
      </c>
      <c r="K7" s="46" t="s">
        <v>240</v>
      </c>
      <c r="L7" s="50" t="s">
        <v>241</v>
      </c>
      <c r="M7" s="50" t="s">
        <v>242</v>
      </c>
      <c r="N7" s="50" t="s">
        <v>243</v>
      </c>
      <c r="O7" s="51" t="n">
        <v>4411.16</v>
      </c>
      <c r="P7" s="52" t="s">
        <v>244</v>
      </c>
      <c r="Q7" s="50" t="s">
        <v>245</v>
      </c>
      <c r="R7" s="1"/>
    </row>
    <row r="8" customFormat="false" ht="61.5" hidden="false" customHeight="true" outlineLevel="0" collapsed="false">
      <c r="A8" s="1"/>
      <c r="B8" s="46" t="n">
        <v>2</v>
      </c>
      <c r="C8" s="47" t="n">
        <v>46286.7024537037</v>
      </c>
      <c r="D8" s="48" t="s">
        <v>236</v>
      </c>
      <c r="E8" s="48" t="s">
        <v>28</v>
      </c>
      <c r="F8" s="49" t="s">
        <v>114</v>
      </c>
      <c r="G8" s="50" t="str">
        <f aca="false">IFERROR(INDEX('Orçado x Realizado'!$D$8:$D$200,MATCH(F8,'Orçado x Realizado'!$B$8:$B$200,0)),"código não encontrado")</f>
        <v>FORNECIMENTO PORCELANATO PORTOBELLO 90X90CM AETERNA BIANCO</v>
      </c>
      <c r="H8" s="50" t="s">
        <v>246</v>
      </c>
      <c r="I8" s="50" t="s">
        <v>247</v>
      </c>
      <c r="J8" s="50" t="s">
        <v>248</v>
      </c>
      <c r="K8" s="46" t="s">
        <v>240</v>
      </c>
      <c r="L8" s="50" t="s">
        <v>249</v>
      </c>
      <c r="M8" s="50" t="s">
        <v>242</v>
      </c>
      <c r="N8" s="50" t="s">
        <v>250</v>
      </c>
      <c r="O8" s="51" t="n">
        <v>2660.36</v>
      </c>
      <c r="P8" s="52" t="s">
        <v>244</v>
      </c>
      <c r="Q8" s="50" t="s">
        <v>251</v>
      </c>
      <c r="R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customFormat="false" ht="15" hidden="false" customHeight="false" outlineLevel="0" collapsed="false">
      <c r="A201" s="1"/>
      <c r="B201" s="53" t="s">
        <v>22</v>
      </c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23" t="n">
        <f aca="false">SUM(O7:O200)</f>
        <v>7071.52</v>
      </c>
      <c r="P201" s="53"/>
      <c r="Q201" s="53"/>
      <c r="R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</sheetData>
  <dataValidations count="1">
    <dataValidation allowBlank="true" error="Escolha um código existente na aba Orçado x Realizado." errorStyle="stop" errorTitle="Código EAP" operator="between" showDropDown="false" showErrorMessage="true" showInputMessage="false" sqref="F7:F200" type="list">
      <formula1>'Orçado x Realizado'!$B$8:$B$200</formula1>
      <formula2>0</formula2>
    </dataValidation>
  </dataValidations>
  <hyperlinks>
    <hyperlink ref="P7" r:id="rId1" location="Anexos!B5" display="Ver anexo"/>
    <hyperlink ref="P8" r:id="rId2" location="Anexos!C5" display="Ver anex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58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2.05" hidden="false" customHeight="false" outlineLevel="0" collapsed="false">
      <c r="A2" s="1"/>
      <c r="B2" s="26" t="s">
        <v>252</v>
      </c>
      <c r="C2" s="1"/>
      <c r="D2" s="1"/>
    </row>
    <row r="3" customFormat="false" ht="15" hidden="false" customHeight="false" outlineLevel="0" collapsed="false">
      <c r="A3" s="1"/>
      <c r="B3" s="3" t="s">
        <v>253</v>
      </c>
      <c r="C3" s="1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21.75" hidden="false" customHeight="true" outlineLevel="0" collapsed="false">
      <c r="A5" s="1"/>
      <c r="B5" s="54" t="s">
        <v>254</v>
      </c>
      <c r="C5" s="54" t="s">
        <v>255</v>
      </c>
      <c r="D5" s="1"/>
    </row>
    <row r="6" customFormat="false" ht="15" hidden="false" customHeight="false" outlineLevel="0" collapsed="false">
      <c r="A6" s="1"/>
      <c r="B6" s="55" t="s">
        <v>256</v>
      </c>
      <c r="C6" s="55" t="s">
        <v>257</v>
      </c>
      <c r="D6" s="1"/>
    </row>
    <row r="7" customFormat="false" ht="15" hidden="false" customHeight="false" outlineLevel="0" collapsed="false">
      <c r="A7" s="1"/>
      <c r="B7" s="1"/>
      <c r="C7" s="1"/>
      <c r="D7" s="1"/>
    </row>
    <row r="8" customFormat="false" ht="15" hidden="false" customHeight="false" outlineLevel="0" collapsed="false">
      <c r="A8" s="1"/>
      <c r="B8" s="1"/>
      <c r="C8" s="1"/>
      <c r="D8" s="1"/>
    </row>
    <row r="9" customFormat="false" ht="15" hidden="false" customHeight="false" outlineLevel="0" collapsed="false">
      <c r="A9" s="1"/>
      <c r="B9" s="1"/>
      <c r="C9" s="1"/>
      <c r="D9" s="1"/>
    </row>
    <row r="10" customFormat="false" ht="15" hidden="false" customHeight="false" outlineLevel="0" collapsed="false">
      <c r="A10" s="1"/>
      <c r="B10" s="1"/>
      <c r="C10" s="1"/>
      <c r="D10" s="1"/>
    </row>
    <row r="11" customFormat="false" ht="15" hidden="false" customHeight="false" outlineLevel="0" collapsed="false">
      <c r="A11" s="1"/>
      <c r="B11" s="1"/>
      <c r="C11" s="1"/>
      <c r="D11" s="1"/>
    </row>
    <row r="12" customFormat="false" ht="15" hidden="false" customHeight="false" outlineLevel="0" collapsed="false">
      <c r="A12" s="1"/>
      <c r="B12" s="1"/>
      <c r="C12" s="1"/>
      <c r="D12" s="1"/>
    </row>
    <row r="13" customFormat="false" ht="15" hidden="false" customHeight="false" outlineLevel="0" collapsed="false">
      <c r="A13" s="1"/>
      <c r="B13" s="1"/>
      <c r="C13" s="1"/>
      <c r="D13" s="1"/>
    </row>
    <row r="14" customFormat="false" ht="15" hidden="false" customHeight="false" outlineLevel="0" collapsed="false">
      <c r="A14" s="1"/>
      <c r="B14" s="1"/>
      <c r="C14" s="1"/>
      <c r="D14" s="1"/>
    </row>
    <row r="15" customFormat="false" ht="15" hidden="false" customHeight="false" outlineLevel="0" collapsed="false">
      <c r="A15" s="1"/>
      <c r="B15" s="1"/>
      <c r="C15" s="1"/>
      <c r="D15" s="1"/>
    </row>
    <row r="16" customFormat="false" ht="15" hidden="false" customHeight="false" outlineLevel="0" collapsed="false">
      <c r="A16" s="1"/>
      <c r="B16" s="1"/>
      <c r="C16" s="1"/>
      <c r="D16" s="1"/>
    </row>
    <row r="17" customFormat="false" ht="15" hidden="false" customHeight="false" outlineLevel="0" collapsed="false">
      <c r="A17" s="1"/>
      <c r="B17" s="1"/>
      <c r="C17" s="1"/>
      <c r="D17" s="1"/>
    </row>
    <row r="18" customFormat="false" ht="15" hidden="false" customHeight="false" outlineLevel="0" collapsed="false">
      <c r="A18" s="1"/>
      <c r="B18" s="1"/>
      <c r="C18" s="1"/>
      <c r="D18" s="1"/>
    </row>
    <row r="19" customFormat="false" ht="15" hidden="false" customHeight="false" outlineLevel="0" collapsed="false">
      <c r="A19" s="1"/>
      <c r="B19" s="1"/>
      <c r="C19" s="1"/>
      <c r="D19" s="1"/>
    </row>
    <row r="20" customFormat="false" ht="15" hidden="false" customHeight="false" outlineLevel="0" collapsed="false">
      <c r="A20" s="1"/>
      <c r="B20" s="1"/>
      <c r="C20" s="1"/>
      <c r="D20" s="1"/>
    </row>
    <row r="21" customFormat="false" ht="15" hidden="false" customHeight="false" outlineLevel="0" collapsed="false">
      <c r="A21" s="1"/>
      <c r="B21" s="1"/>
      <c r="C21" s="1"/>
      <c r="D21" s="1"/>
    </row>
    <row r="22" customFormat="false" ht="15" hidden="false" customHeight="false" outlineLevel="0" collapsed="false">
      <c r="A22" s="1"/>
      <c r="B22" s="1"/>
      <c r="C22" s="1"/>
      <c r="D22" s="1"/>
    </row>
    <row r="23" customFormat="false" ht="15" hidden="false" customHeight="false" outlineLevel="0" collapsed="false">
      <c r="A23" s="1"/>
      <c r="B23" s="1"/>
      <c r="C23" s="1"/>
      <c r="D23" s="1"/>
    </row>
    <row r="24" customFormat="false" ht="15" hidden="false" customHeight="false" outlineLevel="0" collapsed="false">
      <c r="A24" s="1"/>
      <c r="B24" s="1"/>
      <c r="C24" s="1"/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"/>
      <c r="B27" s="1"/>
      <c r="C27" s="1"/>
      <c r="D27" s="1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15" hidden="false" customHeight="false" outlineLevel="0" collapsed="false">
      <c r="A29" s="1"/>
      <c r="B29" s="1"/>
      <c r="C29" s="1"/>
      <c r="D29" s="1"/>
    </row>
    <row r="30" customFormat="false" ht="15" hidden="false" customHeight="false" outlineLevel="0" collapsed="false">
      <c r="A30" s="1"/>
      <c r="B30" s="1"/>
      <c r="C30" s="1"/>
      <c r="D30" s="1"/>
    </row>
    <row r="31" customFormat="false" ht="15" hidden="false" customHeight="false" outlineLevel="0" collapsed="false">
      <c r="A31" s="1"/>
      <c r="B31" s="1"/>
      <c r="C31" s="1"/>
      <c r="D31" s="1"/>
    </row>
    <row r="32" customFormat="false" ht="15" hidden="false" customHeight="false" outlineLevel="0" collapsed="false">
      <c r="A32" s="1"/>
      <c r="B32" s="1"/>
      <c r="C32" s="1"/>
      <c r="D32" s="1"/>
    </row>
    <row r="33" customFormat="false" ht="15" hidden="false" customHeight="false" outlineLevel="0" collapsed="false">
      <c r="A33" s="1"/>
      <c r="B33" s="1"/>
      <c r="C33" s="1"/>
      <c r="D33" s="1"/>
    </row>
    <row r="34" customFormat="false" ht="15" hidden="false" customHeight="false" outlineLevel="0" collapsed="false">
      <c r="A34" s="1"/>
      <c r="B34" s="1"/>
      <c r="C34" s="1"/>
      <c r="D34" s="1"/>
    </row>
    <row r="35" customFormat="false" ht="15" hidden="false" customHeight="false" outlineLevel="0" collapsed="false">
      <c r="A35" s="1"/>
      <c r="B35" s="1"/>
      <c r="C35" s="1"/>
      <c r="D35" s="1"/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15" hidden="false" customHeight="false" outlineLevel="0" collapsed="false">
      <c r="A37" s="1"/>
      <c r="B37" s="1"/>
      <c r="C37" s="1"/>
      <c r="D37" s="1"/>
    </row>
    <row r="38" customFormat="false" ht="15" hidden="false" customHeight="false" outlineLevel="0" collapsed="false">
      <c r="A38" s="1"/>
      <c r="B38" s="1"/>
      <c r="C38" s="1"/>
      <c r="D38" s="1"/>
    </row>
    <row r="39" customFormat="false" ht="15" hidden="false" customHeight="false" outlineLevel="0" collapsed="false">
      <c r="A39" s="1"/>
      <c r="B39" s="1"/>
      <c r="C39" s="1"/>
      <c r="D39" s="1"/>
    </row>
    <row r="40" customFormat="false" ht="15" hidden="false" customHeight="false" outlineLevel="0" collapsed="false">
      <c r="A40" s="1"/>
      <c r="B40" s="1"/>
      <c r="C40" s="1"/>
      <c r="D40" s="1"/>
    </row>
    <row r="41" customFormat="false" ht="15" hidden="false" customHeight="false" outlineLevel="0" collapsed="false">
      <c r="A41" s="1"/>
      <c r="B41" s="1"/>
      <c r="C41" s="1"/>
      <c r="D41" s="1"/>
    </row>
    <row r="42" customFormat="false" ht="15" hidden="false" customHeight="false" outlineLevel="0" collapsed="false">
      <c r="A42" s="1"/>
      <c r="B42" s="1"/>
      <c r="C42" s="1"/>
      <c r="D42" s="1"/>
    </row>
    <row r="43" customFormat="false" ht="15" hidden="false" customHeight="false" outlineLevel="0" collapsed="false">
      <c r="A43" s="1"/>
      <c r="B43" s="1"/>
      <c r="C43" s="1"/>
      <c r="D43" s="1"/>
    </row>
    <row r="44" customFormat="false" ht="15" hidden="false" customHeight="false" outlineLevel="0" collapsed="false">
      <c r="A44" s="1"/>
      <c r="B44" s="1"/>
      <c r="C44" s="1"/>
      <c r="D44" s="1"/>
    </row>
    <row r="45" customFormat="false" ht="15" hidden="false" customHeight="false" outlineLevel="0" collapsed="false">
      <c r="A45" s="1"/>
      <c r="B45" s="1"/>
      <c r="C45" s="1"/>
      <c r="D45" s="1"/>
    </row>
    <row r="46" customFormat="false" ht="15" hidden="false" customHeight="false" outlineLevel="0" collapsed="false">
      <c r="A46" s="1"/>
      <c r="B46" s="1"/>
      <c r="C46" s="1"/>
      <c r="D46" s="1"/>
    </row>
    <row r="47" customFormat="false" ht="15" hidden="false" customHeight="false" outlineLevel="0" collapsed="false">
      <c r="A47" s="1"/>
      <c r="B47" s="1"/>
      <c r="C47" s="1"/>
      <c r="D47" s="1"/>
    </row>
    <row r="48" customFormat="false" ht="15" hidden="false" customHeight="false" outlineLevel="0" collapsed="false">
      <c r="A48" s="1"/>
      <c r="B48" s="1"/>
      <c r="C48" s="1"/>
      <c r="D48" s="1"/>
    </row>
    <row r="49" customFormat="false" ht="15" hidden="false" customHeight="false" outlineLevel="0" collapsed="false">
      <c r="A49" s="1"/>
      <c r="B49" s="1"/>
      <c r="C49" s="1"/>
      <c r="D49" s="1"/>
    </row>
    <row r="50" customFormat="false" ht="15" hidden="false" customHeight="false" outlineLevel="0" collapsed="false">
      <c r="A50" s="1"/>
      <c r="B50" s="1"/>
      <c r="C50" s="1"/>
      <c r="D50" s="1"/>
    </row>
    <row r="51" customFormat="false" ht="15" hidden="false" customHeight="false" outlineLevel="0" collapsed="false">
      <c r="A51" s="1"/>
      <c r="B51" s="1"/>
      <c r="C51" s="1"/>
      <c r="D51" s="1"/>
    </row>
    <row r="52" customFormat="false" ht="15" hidden="false" customHeight="false" outlineLevel="0" collapsed="false">
      <c r="A52" s="1"/>
      <c r="B52" s="1"/>
      <c r="C52" s="1"/>
      <c r="D52" s="1"/>
    </row>
    <row r="53" customFormat="false" ht="15" hidden="false" customHeight="false" outlineLevel="0" collapsed="false">
      <c r="A53" s="1"/>
      <c r="B53" s="1"/>
      <c r="C53" s="1"/>
      <c r="D53" s="1"/>
    </row>
    <row r="54" customFormat="false" ht="15" hidden="false" customHeight="false" outlineLevel="0" collapsed="false">
      <c r="A54" s="1"/>
      <c r="B54" s="1"/>
      <c r="C54" s="1"/>
      <c r="D54" s="1"/>
    </row>
    <row r="55" customFormat="false" ht="15" hidden="false" customHeight="false" outlineLevel="0" collapsed="false">
      <c r="A55" s="1"/>
      <c r="B55" s="1"/>
      <c r="C55" s="1"/>
      <c r="D55" s="1"/>
    </row>
    <row r="56" customFormat="false" ht="15" hidden="false" customHeight="false" outlineLevel="0" collapsed="false">
      <c r="A56" s="1"/>
      <c r="B56" s="1"/>
      <c r="C56" s="1"/>
      <c r="D56" s="1"/>
    </row>
    <row r="57" customFormat="false" ht="15" hidden="false" customHeight="false" outlineLevel="0" collapsed="false">
      <c r="A57" s="1"/>
      <c r="B57" s="1"/>
      <c r="C57" s="1"/>
      <c r="D57" s="1"/>
    </row>
    <row r="58" customFormat="false" ht="15" hidden="false" customHeight="false" outlineLevel="0" collapsed="false">
      <c r="A58" s="1"/>
      <c r="B58" s="1"/>
      <c r="C58" s="1"/>
      <c r="D58" s="1"/>
    </row>
    <row r="59" customFormat="false" ht="15" hidden="false" customHeight="false" outlineLevel="0" collapsed="false">
      <c r="A59" s="1"/>
      <c r="B59" s="1"/>
      <c r="C59" s="1"/>
      <c r="D59" s="1"/>
    </row>
    <row r="60" customFormat="false" ht="15" hidden="false" customHeight="false" outlineLevel="0" collapsed="false">
      <c r="A60" s="1"/>
      <c r="B60" s="1"/>
      <c r="C60" s="1"/>
      <c r="D6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2026-09-27T00:54:06Z</dcterms:created>
  <dc:creator>openpyxl</dc:creator>
  <dc:description/>
  <dc:language>en-US</dc:language>
  <cp:lastModifiedBy/>
  <dcterms:modified xsi:type="dcterms:W3CDTF">2026-09-27T00:54:06Z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